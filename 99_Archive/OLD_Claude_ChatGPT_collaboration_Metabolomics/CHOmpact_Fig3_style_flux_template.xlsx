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Input_Timecourse" sheetId="2" state="visible" r:id="rId2"/>
    <sheet xmlns:r="http://schemas.openxmlformats.org/officeDocument/2006/relationships" name="02_Exchange_Flux" sheetId="3" state="visible" r:id="rId3"/>
    <sheet xmlns:r="http://schemas.openxmlformats.org/officeDocument/2006/relationships" name="03_Central_Flux_Proxy" sheetId="4" state="visible" r:id="rId4"/>
    <sheet xmlns:r="http://schemas.openxmlformats.org/officeDocument/2006/relationships" name="04_Fig3_Map_Input" sheetId="5" state="visible" r:id="rId5"/>
    <sheet xmlns:r="http://schemas.openxmlformats.org/officeDocument/2006/relationships" name="05_Example_Chart" sheetId="6" state="visible" r:id="rId6"/>
    <sheet xmlns:r="http://schemas.openxmlformats.org/officeDocument/2006/relationships" name="06_Calculation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Central flux proxy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'05_Example_Chart'!B3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'05_Example_Chart'!$A$4:$A$12</f>
            </numRef>
          </cat>
          <val>
            <numRef>
              <f>'05_Example_Chart'!$B$4:$B$12</f>
            </numRef>
          </val>
        </ser>
        <ser>
          <idx val="1"/>
          <order val="1"/>
          <tx>
            <strRef>
              <f>'05_Example_Chart'!C3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'05_Example_Chart'!$A$4:$A$12</f>
            </numRef>
          </cat>
          <val>
            <numRef>
              <f>'05_Example_Chart'!$C$4:$C$12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mmol / 1e9 cells /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Flux node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ChatGPT</author>
  </authors>
  <commentList>
    <comment ref="G1" authorId="0" shapeId="0">
      <text>
        <t>Unit: mmol / 1e9 cells / day. Uptake positive = consumed.</t>
      </text>
    </comment>
  </commentList>
</comments>
</file>

<file path=xl/comments/comment2.xml><?xml version="1.0" encoding="utf-8"?>
<comments xmlns="http://schemas.openxmlformats.org/spreadsheetml/2006/main">
  <authors>
    <author>ChatGPT</author>
  </authors>
  <commentList>
    <comment ref="F1" authorId="0" shapeId="0">
      <text>
        <t>Proxy: glucose uptake × 2. Not direct intracellular glycolytic flux.</t>
      </text>
    </comment>
    <comment ref="I1" authorId="0" shapeId="0">
      <text>
        <t>Proxy: glycolysis-derived pyruvate minus lactate and alanine branches.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Table" displayName="InputTable" ref="A1:AO101" headerRowCount="1">
  <autoFilter ref="A1:AO101"/>
  <tableColumns count="41">
    <tableColumn id="1" name="Sample_ID"/>
    <tableColumn id="2" name="Clone"/>
    <tableColumn id="3" name="Group"/>
    <tableColumn id="4" name="Phase"/>
    <tableColumn id="5" name="t_start_h"/>
    <tableColumn id="6" name="t_end_h"/>
    <tableColumn id="7" name="VCD_start_1e6_cells_mL"/>
    <tableColumn id="8" name="VCD_end_1e6_cells_mL"/>
    <tableColumn id="9" name="qP_pg_cell_day"/>
    <tableColumn id="10" name="Titer_g_L"/>
    <tableColumn id="11" name="Glucose_start_mM"/>
    <tableColumn id="12" name="Glucose_end_mM"/>
    <tableColumn id="13" name="Lactate_start_mM"/>
    <tableColumn id="14" name="Lactate_end_mM"/>
    <tableColumn id="15" name="Glutamine_start_mM"/>
    <tableColumn id="16" name="Glutamine_end_mM"/>
    <tableColumn id="17" name="Glutamate_start_mM"/>
    <tableColumn id="18" name="Glutamate_end_mM"/>
    <tableColumn id="19" name="Alanine_start_mM"/>
    <tableColumn id="20" name="Alanine_end_mM"/>
    <tableColumn id="21" name="Asparagine_start_mM"/>
    <tableColumn id="22" name="Asparagine_end_mM"/>
    <tableColumn id="23" name="Aspartate_start_mM"/>
    <tableColumn id="24" name="Aspartate_end_mM"/>
    <tableColumn id="25" name="Serine_start_mM"/>
    <tableColumn id="26" name="Serine_end_mM"/>
    <tableColumn id="27" name="Glycine_start_mM"/>
    <tableColumn id="28" name="Glycine_end_mM"/>
    <tableColumn id="29" name="Leucine_start_mM"/>
    <tableColumn id="30" name="Leucine_end_mM"/>
    <tableColumn id="31" name="Isoleucine_start_mM"/>
    <tableColumn id="32" name="Isoleucine_end_mM"/>
    <tableColumn id="33" name="Ammonia_start_mM"/>
    <tableColumn id="34" name="Ammonia_end_mM"/>
    <tableColumn id="35" name="Malate_start_mM"/>
    <tableColumn id="36" name="Malate_end_mM"/>
    <tableColumn id="37" name="Citrate_start_mM"/>
    <tableColumn id="38" name="Citrate_end_mM"/>
    <tableColumn id="39" name="Succinate_start_mM"/>
    <tableColumn id="40" name="Succinate_end_mM"/>
    <tableColumn id="41" name="Notes"/>
  </tableColumns>
  <tableStyleInfo name="TableStyleMedium2" showRowStripes="1"/>
</table>
</file>

<file path=xl/tables/table2.xml><?xml version="1.0" encoding="utf-8"?>
<table xmlns="http://schemas.openxmlformats.org/spreadsheetml/2006/main" id="2" name="ExchangeFluxTable" displayName="ExchangeFluxTable" ref="A1:V101" headerRowCount="1">
  <autoFilter ref="A1:V101"/>
  <tableColumns count="22">
    <tableColumn id="1" name="Sample_ID"/>
    <tableColumn id="2" name="Clone"/>
    <tableColumn id="3" name="Group"/>
    <tableColumn id="4" name="Phase"/>
    <tableColumn id="5" name="delta_t_day"/>
    <tableColumn id="6" name="avg_VCD_1e6_cells_mL"/>
    <tableColumn id="7" name="Glucose_uptake"/>
    <tableColumn id="8" name="Lactate_secretion"/>
    <tableColumn id="9" name="Glutamine_uptake"/>
    <tableColumn id="10" name="Glutamate_secretion"/>
    <tableColumn id="11" name="Alanine_secretion"/>
    <tableColumn id="12" name="Asparagine_uptake"/>
    <tableColumn id="13" name="Aspartate_uptake"/>
    <tableColumn id="14" name="Serine_uptake"/>
    <tableColumn id="15" name="Glycine_uptake"/>
    <tableColumn id="16" name="Leucine_uptake"/>
    <tableColumn id="17" name="Isoleucine_uptake"/>
    <tableColumn id="18" name="Ammonia_secretion"/>
    <tableColumn id="19" name="Malate_net_secretion"/>
    <tableColumn id="20" name="Citrate_net_secretion"/>
    <tableColumn id="21" name="Succinate_net_secretion"/>
    <tableColumn id="22" name="QC_flag"/>
  </tableColumns>
  <tableStyleInfo name="TableStyleMedium4" showRowStripes="1"/>
</table>
</file>

<file path=xl/tables/table3.xml><?xml version="1.0" encoding="utf-8"?>
<table xmlns="http://schemas.openxmlformats.org/spreadsheetml/2006/main" id="3" name="CentralFluxProxyTable" displayName="CentralFluxProxyTable" ref="A1:R101" headerRowCount="1">
  <autoFilter ref="A1:R101"/>
  <tableColumns count="18">
    <tableColumn id="1" name="Sample_ID"/>
    <tableColumn id="2" name="Clone"/>
    <tableColumn id="3" name="Group"/>
    <tableColumn id="4" name="Phase"/>
    <tableColumn id="5" name="GLC_uptake"/>
    <tableColumn id="6" name="Glycolysis_to_PYR_proxy"/>
    <tableColumn id="7" name="Lactate_branch"/>
    <tableColumn id="8" name="Alanine_branch"/>
    <tableColumn id="9" name="PYR_to_TCA_proxy"/>
    <tableColumn id="10" name="GLN_uptake"/>
    <tableColumn id="11" name="GLU_secretion"/>
    <tableColumn id="12" name="Glutaminolysis_to_TCA_proxy"/>
    <tableColumn id="13" name="TCA_input_proxy"/>
    <tableColumn id="14" name="AA_uptake_sum_proxy"/>
    <tableColumn id="15" name="Asp_Mal_shuttle_proxy"/>
    <tableColumn id="16" name="NH4_burden"/>
    <tableColumn id="17" name="Redox_overflow_ratio"/>
    <tableColumn id="18" name="Interpretation_flag"/>
  </tableColumns>
  <tableStyleInfo name="TableStyleMedium5" showRowStripes="1"/>
</table>
</file>

<file path=xl/tables/table4.xml><?xml version="1.0" encoding="utf-8"?>
<table xmlns="http://schemas.openxmlformats.org/spreadsheetml/2006/main" id="4" name="MapInputTable" displayName="MapInputTable" ref="A1:E12" headerRowCount="1">
  <autoFilter ref="A1:E12"/>
  <tableColumns count="5">
    <tableColumn id="1" name="Pathway_Node"/>
    <tableColumn id="2" name="Flux_Column"/>
    <tableColumn id="3" name="Biological_Meaning"/>
    <tableColumn id="4" name="Figure_Use"/>
    <tableColumn id="5" name="Caution"/>
  </tableColumns>
  <tableStyleInfo name="TableStyleMedium6" showRowStripes="1"/>
</table>
</file>

<file path=xl/tables/table5.xml><?xml version="1.0" encoding="utf-8"?>
<table xmlns="http://schemas.openxmlformats.org/spreadsheetml/2006/main" id="5" name="CalculationRulesTable" displayName="CalculationRulesTable" ref="A1:C10" headerRowCount="1">
  <autoFilter ref="A1:C10"/>
  <tableColumns count="3">
    <tableColumn id="1" name="Calculation"/>
    <tableColumn id="2" name="Formula"/>
    <tableColumn id="3" name="Interpreta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CHOmpact Figure 3-style Reduced Central Flux Pipeline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Clone/time-course spent-media metabolomics를 CHOmpact Figure 3 스타일의 reduced central flux map 입력값으로 변환합니다.</t>
        </is>
      </c>
    </row>
    <row r="4">
      <c r="A4" s="3" t="inlineStr">
        <is>
          <t>Important</t>
        </is>
      </c>
      <c r="B4" s="2" t="inlineStr">
        <is>
          <t>논문 Figure 3의 완전 재현이 아니라, 실험 데이터 기반 상대 flux proxy를 만드는 실용 버전입니다.</t>
        </is>
      </c>
    </row>
    <row r="5">
      <c r="A5" s="3" t="inlineStr">
        <is>
          <t>Input</t>
        </is>
      </c>
      <c r="B5" s="2" t="inlineStr">
        <is>
          <t>Clone, phase/time window, VCD start/end, extracellular metabolite start/end concentration.</t>
        </is>
      </c>
    </row>
    <row r="6">
      <c r="A6" s="3" t="inlineStr">
        <is>
          <t>Output</t>
        </is>
      </c>
      <c r="B6" s="2" t="inlineStr">
        <is>
          <t>Exchange flux, glycolysis/TCA/glutaminolysis/lactate/AA/Asp-Mal shuttle proxy.</t>
        </is>
      </c>
    </row>
    <row r="7">
      <c r="A7" s="3" t="inlineStr">
        <is>
          <t>Unit</t>
        </is>
      </c>
      <c r="B7" s="2" t="inlineStr">
        <is>
          <t>mmol / 1e9 cells / day. Uptake positive = 세포가 소비, secretion positive = 세포가 분비.</t>
        </is>
      </c>
    </row>
    <row r="8">
      <c r="A8" s="3" t="inlineStr">
        <is>
          <t>Use</t>
        </is>
      </c>
      <c r="B8" s="2" t="inlineStr">
        <is>
          <t>절대 intracellular flux가 아니라 clone 간 상대 비교용으로 해석하세요.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30" customWidth="1" min="41" max="41"/>
  </cols>
  <sheetData>
    <row r="1">
      <c r="A1" s="4" t="inlineStr">
        <is>
          <t>Sample_ID</t>
        </is>
      </c>
      <c r="B1" s="4" t="inlineStr">
        <is>
          <t>Clone</t>
        </is>
      </c>
      <c r="C1" s="4" t="inlineStr">
        <is>
          <t>Group</t>
        </is>
      </c>
      <c r="D1" s="4" t="inlineStr">
        <is>
          <t>Phase</t>
        </is>
      </c>
      <c r="E1" s="4" t="inlineStr">
        <is>
          <t>t_start_h</t>
        </is>
      </c>
      <c r="F1" s="4" t="inlineStr">
        <is>
          <t>t_end_h</t>
        </is>
      </c>
      <c r="G1" s="4" t="inlineStr">
        <is>
          <t>VCD_start_1e6_cells_mL</t>
        </is>
      </c>
      <c r="H1" s="4" t="inlineStr">
        <is>
          <t>VCD_end_1e6_cells_mL</t>
        </is>
      </c>
      <c r="I1" s="4" t="inlineStr">
        <is>
          <t>qP_pg_cell_day</t>
        </is>
      </c>
      <c r="J1" s="4" t="inlineStr">
        <is>
          <t>Titer_g_L</t>
        </is>
      </c>
      <c r="K1" s="4" t="inlineStr">
        <is>
          <t>Glucose_start_mM</t>
        </is>
      </c>
      <c r="L1" s="4" t="inlineStr">
        <is>
          <t>Glucose_end_mM</t>
        </is>
      </c>
      <c r="M1" s="4" t="inlineStr">
        <is>
          <t>Lactate_start_mM</t>
        </is>
      </c>
      <c r="N1" s="4" t="inlineStr">
        <is>
          <t>Lactate_end_mM</t>
        </is>
      </c>
      <c r="O1" s="4" t="inlineStr">
        <is>
          <t>Glutamine_start_mM</t>
        </is>
      </c>
      <c r="P1" s="4" t="inlineStr">
        <is>
          <t>Glutamine_end_mM</t>
        </is>
      </c>
      <c r="Q1" s="4" t="inlineStr">
        <is>
          <t>Glutamate_start_mM</t>
        </is>
      </c>
      <c r="R1" s="4" t="inlineStr">
        <is>
          <t>Glutamate_end_mM</t>
        </is>
      </c>
      <c r="S1" s="4" t="inlineStr">
        <is>
          <t>Alanine_start_mM</t>
        </is>
      </c>
      <c r="T1" s="4" t="inlineStr">
        <is>
          <t>Alanine_end_mM</t>
        </is>
      </c>
      <c r="U1" s="4" t="inlineStr">
        <is>
          <t>Asparagine_start_mM</t>
        </is>
      </c>
      <c r="V1" s="4" t="inlineStr">
        <is>
          <t>Asparagine_end_mM</t>
        </is>
      </c>
      <c r="W1" s="4" t="inlineStr">
        <is>
          <t>Aspartate_start_mM</t>
        </is>
      </c>
      <c r="X1" s="4" t="inlineStr">
        <is>
          <t>Aspartate_end_mM</t>
        </is>
      </c>
      <c r="Y1" s="4" t="inlineStr">
        <is>
          <t>Serine_start_mM</t>
        </is>
      </c>
      <c r="Z1" s="4" t="inlineStr">
        <is>
          <t>Serine_end_mM</t>
        </is>
      </c>
      <c r="AA1" s="4" t="inlineStr">
        <is>
          <t>Glycine_start_mM</t>
        </is>
      </c>
      <c r="AB1" s="4" t="inlineStr">
        <is>
          <t>Glycine_end_mM</t>
        </is>
      </c>
      <c r="AC1" s="4" t="inlineStr">
        <is>
          <t>Leucine_start_mM</t>
        </is>
      </c>
      <c r="AD1" s="4" t="inlineStr">
        <is>
          <t>Leucine_end_mM</t>
        </is>
      </c>
      <c r="AE1" s="4" t="inlineStr">
        <is>
          <t>Isoleucine_start_mM</t>
        </is>
      </c>
      <c r="AF1" s="4" t="inlineStr">
        <is>
          <t>Isoleucine_end_mM</t>
        </is>
      </c>
      <c r="AG1" s="4" t="inlineStr">
        <is>
          <t>Ammonia_start_mM</t>
        </is>
      </c>
      <c r="AH1" s="4" t="inlineStr">
        <is>
          <t>Ammonia_end_mM</t>
        </is>
      </c>
      <c r="AI1" s="4" t="inlineStr">
        <is>
          <t>Malate_start_mM</t>
        </is>
      </c>
      <c r="AJ1" s="4" t="inlineStr">
        <is>
          <t>Malate_end_mM</t>
        </is>
      </c>
      <c r="AK1" s="4" t="inlineStr">
        <is>
          <t>Citrate_start_mM</t>
        </is>
      </c>
      <c r="AL1" s="4" t="inlineStr">
        <is>
          <t>Citrate_end_mM</t>
        </is>
      </c>
      <c r="AM1" s="4" t="inlineStr">
        <is>
          <t>Succinate_start_mM</t>
        </is>
      </c>
      <c r="AN1" s="4" t="inlineStr">
        <is>
          <t>Succinate_end_mM</t>
        </is>
      </c>
      <c r="AO1" s="4" t="inlineStr">
        <is>
          <t>Notes</t>
        </is>
      </c>
    </row>
    <row r="2">
      <c r="A2" s="5" t="inlineStr">
        <is>
          <t>EX_C1_Early</t>
        </is>
      </c>
      <c r="B2" s="5" t="inlineStr">
        <is>
          <t>Clone_1</t>
        </is>
      </c>
      <c r="C2" s="5" t="inlineStr">
        <is>
          <t>High</t>
        </is>
      </c>
      <c r="D2" s="5" t="inlineStr">
        <is>
          <t>Early</t>
        </is>
      </c>
      <c r="E2" s="5" t="n">
        <v>0</v>
      </c>
      <c r="F2" s="5" t="n">
        <v>48</v>
      </c>
      <c r="G2" s="5" t="n">
        <v>0.3</v>
      </c>
      <c r="H2" s="5" t="n">
        <v>2</v>
      </c>
      <c r="I2" s="5" t="n">
        <v>25</v>
      </c>
      <c r="J2" s="5" t="n">
        <v>0.45</v>
      </c>
      <c r="K2" s="5" t="n">
        <v>25</v>
      </c>
      <c r="L2" s="5" t="n">
        <v>16</v>
      </c>
      <c r="M2" s="5" t="n">
        <v>2</v>
      </c>
      <c r="N2" s="5" t="n">
        <v>10</v>
      </c>
      <c r="O2" s="5" t="n">
        <v>4</v>
      </c>
      <c r="P2" s="5" t="n">
        <v>1.5</v>
      </c>
      <c r="Q2" s="5" t="n">
        <v>0.3</v>
      </c>
      <c r="R2" s="5" t="n">
        <v>0.8</v>
      </c>
      <c r="S2" s="5" t="n">
        <v>0.6</v>
      </c>
      <c r="T2" s="5" t="n">
        <v>1</v>
      </c>
      <c r="U2" s="5" t="n">
        <v>1</v>
      </c>
      <c r="V2" s="5" t="n">
        <v>0.6</v>
      </c>
      <c r="W2" s="5" t="n">
        <v>0.15</v>
      </c>
      <c r="X2" s="5" t="n">
        <v>0.08</v>
      </c>
      <c r="Y2" s="5" t="n">
        <v>0.7</v>
      </c>
      <c r="Z2" s="5" t="n">
        <v>0.4</v>
      </c>
      <c r="AA2" s="5" t="n">
        <v>0.5</v>
      </c>
      <c r="AB2" s="5" t="n">
        <v>0.35</v>
      </c>
      <c r="AC2" s="5" t="n">
        <v>0.8</v>
      </c>
      <c r="AD2" s="5" t="n">
        <v>0.55</v>
      </c>
      <c r="AE2" s="5" t="n">
        <v>0.8</v>
      </c>
      <c r="AF2" s="5" t="n">
        <v>0.6</v>
      </c>
      <c r="AG2" s="5" t="n">
        <v>0.5</v>
      </c>
      <c r="AH2" s="5" t="n">
        <v>2.5</v>
      </c>
      <c r="AI2" s="5" t="inlineStr"/>
      <c r="AJ2" s="5" t="inlineStr"/>
      <c r="AK2" s="5" t="inlineStr"/>
      <c r="AL2" s="5" t="inlineStr"/>
      <c r="AM2" s="5" t="inlineStr"/>
      <c r="AN2" s="5" t="inlineStr"/>
      <c r="AO2" s="5" t="inlineStr">
        <is>
          <t>Example only</t>
        </is>
      </c>
    </row>
    <row r="3">
      <c r="A3" s="5" t="inlineStr">
        <is>
          <t>EX_C2_Early</t>
        </is>
      </c>
      <c r="B3" s="5" t="inlineStr">
        <is>
          <t>Clone_2</t>
        </is>
      </c>
      <c r="C3" s="5" t="inlineStr">
        <is>
          <t>Low</t>
        </is>
      </c>
      <c r="D3" s="5" t="inlineStr">
        <is>
          <t>Early</t>
        </is>
      </c>
      <c r="E3" s="5" t="n">
        <v>0</v>
      </c>
      <c r="F3" s="5" t="n">
        <v>48</v>
      </c>
      <c r="G3" s="5" t="n">
        <v>0.3</v>
      </c>
      <c r="H3" s="5" t="n">
        <v>1.7</v>
      </c>
      <c r="I3" s="5" t="n">
        <v>12</v>
      </c>
      <c r="J3" s="5" t="n">
        <v>0.18</v>
      </c>
      <c r="K3" s="5" t="n">
        <v>25</v>
      </c>
      <c r="L3" s="5" t="n">
        <v>18</v>
      </c>
      <c r="M3" s="5" t="n">
        <v>2</v>
      </c>
      <c r="N3" s="5" t="n">
        <v>14</v>
      </c>
      <c r="O3" s="5" t="n">
        <v>4</v>
      </c>
      <c r="P3" s="5" t="n">
        <v>2.2</v>
      </c>
      <c r="Q3" s="5" t="n">
        <v>0.3</v>
      </c>
      <c r="R3" s="5" t="n">
        <v>1.1</v>
      </c>
      <c r="S3" s="5" t="n">
        <v>0.6</v>
      </c>
      <c r="T3" s="5" t="n">
        <v>1.4</v>
      </c>
      <c r="U3" s="5" t="n">
        <v>1</v>
      </c>
      <c r="V3" s="5" t="n">
        <v>0.8</v>
      </c>
      <c r="W3" s="5" t="n">
        <v>0.15</v>
      </c>
      <c r="X3" s="5" t="n">
        <v>0.12</v>
      </c>
      <c r="Y3" s="5" t="n">
        <v>0.7</v>
      </c>
      <c r="Z3" s="5" t="n">
        <v>0.48</v>
      </c>
      <c r="AA3" s="5" t="n">
        <v>0.5</v>
      </c>
      <c r="AB3" s="5" t="n">
        <v>0.42</v>
      </c>
      <c r="AC3" s="5" t="n">
        <v>0.8</v>
      </c>
      <c r="AD3" s="5" t="n">
        <v>0.65</v>
      </c>
      <c r="AE3" s="5" t="n">
        <v>0.8</v>
      </c>
      <c r="AF3" s="5" t="n">
        <v>0.7</v>
      </c>
      <c r="AG3" s="5" t="n">
        <v>0.5</v>
      </c>
      <c r="AH3" s="5" t="n">
        <v>3.3</v>
      </c>
      <c r="AI3" s="5" t="inlineStr"/>
      <c r="AJ3" s="5" t="inlineStr"/>
      <c r="AK3" s="5" t="inlineStr"/>
      <c r="AL3" s="5" t="inlineStr"/>
      <c r="AM3" s="5" t="inlineStr"/>
      <c r="AN3" s="5" t="inlineStr"/>
      <c r="AO3" s="5" t="inlineStr">
        <is>
          <t>Example only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4" t="inlineStr">
        <is>
          <t>Sample_ID</t>
        </is>
      </c>
      <c r="B1" s="4" t="inlineStr">
        <is>
          <t>Clone</t>
        </is>
      </c>
      <c r="C1" s="4" t="inlineStr">
        <is>
          <t>Group</t>
        </is>
      </c>
      <c r="D1" s="4" t="inlineStr">
        <is>
          <t>Phase</t>
        </is>
      </c>
      <c r="E1" s="4" t="inlineStr">
        <is>
          <t>delta_t_day</t>
        </is>
      </c>
      <c r="F1" s="4" t="inlineStr">
        <is>
          <t>avg_VCD_1e6_cells_mL</t>
        </is>
      </c>
      <c r="G1" s="4" t="inlineStr">
        <is>
          <t>Glucose_uptake</t>
        </is>
      </c>
      <c r="H1" s="4" t="inlineStr">
        <is>
          <t>Lactate_secretion</t>
        </is>
      </c>
      <c r="I1" s="4" t="inlineStr">
        <is>
          <t>Glutamine_uptake</t>
        </is>
      </c>
      <c r="J1" s="4" t="inlineStr">
        <is>
          <t>Glutamate_secretion</t>
        </is>
      </c>
      <c r="K1" s="4" t="inlineStr">
        <is>
          <t>Alanine_secretion</t>
        </is>
      </c>
      <c r="L1" s="4" t="inlineStr">
        <is>
          <t>Asparagine_uptake</t>
        </is>
      </c>
      <c r="M1" s="4" t="inlineStr">
        <is>
          <t>Aspartate_uptake</t>
        </is>
      </c>
      <c r="N1" s="4" t="inlineStr">
        <is>
          <t>Serine_uptake</t>
        </is>
      </c>
      <c r="O1" s="4" t="inlineStr">
        <is>
          <t>Glycine_uptake</t>
        </is>
      </c>
      <c r="P1" s="4" t="inlineStr">
        <is>
          <t>Leucine_uptake</t>
        </is>
      </c>
      <c r="Q1" s="4" t="inlineStr">
        <is>
          <t>Isoleucine_uptake</t>
        </is>
      </c>
      <c r="R1" s="4" t="inlineStr">
        <is>
          <t>Ammonia_secretion</t>
        </is>
      </c>
      <c r="S1" s="4" t="inlineStr">
        <is>
          <t>Malate_net_secretion</t>
        </is>
      </c>
      <c r="T1" s="4" t="inlineStr">
        <is>
          <t>Citrate_net_secretion</t>
        </is>
      </c>
      <c r="U1" s="4" t="inlineStr">
        <is>
          <t>Succinate_net_secretion</t>
        </is>
      </c>
      <c r="V1" s="4" t="inlineStr">
        <is>
          <t>QC_flag</t>
        </is>
      </c>
    </row>
    <row r="2">
      <c r="A2" s="2">
        <f>'01_Input_Timecourse'!A2</f>
        <v/>
      </c>
      <c r="B2" s="2">
        <f>'01_Input_Timecourse'!B2</f>
        <v/>
      </c>
      <c r="C2" s="2">
        <f>'01_Input_Timecourse'!C2</f>
        <v/>
      </c>
      <c r="D2" s="2">
        <f>'01_Input_Timecourse'!D2</f>
        <v/>
      </c>
      <c r="E2" s="6">
        <f>IFERROR(('01_Input_Timecourse'!F2-'01_Input_Timecourse'!E2)/24,"")</f>
        <v/>
      </c>
      <c r="F2" s="6">
        <f>IFERROR(AVERAGE('01_Input_Timecourse'!G2:H2),"")</f>
        <v/>
      </c>
      <c r="G2" s="6">
        <f>IFERROR(('01_Input_Timecourse'!K2-'01_Input_Timecourse'!L2)/$E2/$F2,"")</f>
        <v/>
      </c>
      <c r="H2" s="6">
        <f>IFERROR(('01_Input_Timecourse'!N2-'01_Input_Timecourse'!M2)/$E2/$F2,"")</f>
        <v/>
      </c>
      <c r="I2" s="6">
        <f>IFERROR(('01_Input_Timecourse'!O2-'01_Input_Timecourse'!P2)/$E2/$F2,"")</f>
        <v/>
      </c>
      <c r="J2" s="6">
        <f>IFERROR(('01_Input_Timecourse'!R2-'01_Input_Timecourse'!Q2)/$E2/$F2,"")</f>
        <v/>
      </c>
      <c r="K2" s="6">
        <f>IFERROR(('01_Input_Timecourse'!T2-'01_Input_Timecourse'!S2)/$E2/$F2,"")</f>
        <v/>
      </c>
      <c r="L2" s="6">
        <f>IFERROR(('01_Input_Timecourse'!U2-'01_Input_Timecourse'!V2)/$E2/$F2,"")</f>
        <v/>
      </c>
      <c r="M2" s="6">
        <f>IFERROR(('01_Input_Timecourse'!W2-'01_Input_Timecourse'!X2)/$E2/$F2,"")</f>
        <v/>
      </c>
      <c r="N2" s="6">
        <f>IFERROR(('01_Input_Timecourse'!Y2-'01_Input_Timecourse'!Z2)/$E2/$F2,"")</f>
        <v/>
      </c>
      <c r="O2" s="6">
        <f>IFERROR(('01_Input_Timecourse'!AA2-'01_Input_Timecourse'!AB2)/$E2/$F2,"")</f>
        <v/>
      </c>
      <c r="P2" s="6">
        <f>IFERROR(('01_Input_Timecourse'!AC2-'01_Input_Timecourse'!AD2)/$E2/$F2,"")</f>
        <v/>
      </c>
      <c r="Q2" s="6">
        <f>IFERROR(('01_Input_Timecourse'!AE2-'01_Input_Timecourse'!AF2)/$E2/$F2,"")</f>
        <v/>
      </c>
      <c r="R2" s="6">
        <f>IFERROR(('01_Input_Timecourse'!AH2-'01_Input_Timecourse'!AG2)/$E2/$F2,"")</f>
        <v/>
      </c>
      <c r="S2" s="6">
        <f>IFERROR(('01_Input_Timecourse'!AJ2-'01_Input_Timecourse'!AI2)/$E2/$F2,"")</f>
        <v/>
      </c>
      <c r="T2" s="6">
        <f>IFERROR(('01_Input_Timecourse'!AL2-'01_Input_Timecourse'!AK2)/$E2/$F2,"")</f>
        <v/>
      </c>
      <c r="U2" s="6">
        <f>IFERROR(('01_Input_Timecourse'!AN2-'01_Input_Timecourse'!AM2)/$E2/$F2,"")</f>
        <v/>
      </c>
      <c r="V2" s="2">
        <f>IF(A2="","",IF(OR(E2&lt;=0,F2&lt;=0),"Check time/VCD","OK"))</f>
        <v/>
      </c>
    </row>
    <row r="3">
      <c r="A3" s="2">
        <f>'01_Input_Timecourse'!A3</f>
        <v/>
      </c>
      <c r="B3" s="2">
        <f>'01_Input_Timecourse'!B3</f>
        <v/>
      </c>
      <c r="C3" s="2">
        <f>'01_Input_Timecourse'!C3</f>
        <v/>
      </c>
      <c r="D3" s="2">
        <f>'01_Input_Timecourse'!D3</f>
        <v/>
      </c>
      <c r="E3" s="6">
        <f>IFERROR(('01_Input_Timecourse'!F3-'01_Input_Timecourse'!E3)/24,"")</f>
        <v/>
      </c>
      <c r="F3" s="6">
        <f>IFERROR(AVERAGE('01_Input_Timecourse'!G3:H3),"")</f>
        <v/>
      </c>
      <c r="G3" s="6">
        <f>IFERROR(('01_Input_Timecourse'!K3-'01_Input_Timecourse'!L3)/$E3/$F3,"")</f>
        <v/>
      </c>
      <c r="H3" s="6">
        <f>IFERROR(('01_Input_Timecourse'!N3-'01_Input_Timecourse'!M3)/$E3/$F3,"")</f>
        <v/>
      </c>
      <c r="I3" s="6">
        <f>IFERROR(('01_Input_Timecourse'!O3-'01_Input_Timecourse'!P3)/$E3/$F3,"")</f>
        <v/>
      </c>
      <c r="J3" s="6">
        <f>IFERROR(('01_Input_Timecourse'!R3-'01_Input_Timecourse'!Q3)/$E3/$F3,"")</f>
        <v/>
      </c>
      <c r="K3" s="6">
        <f>IFERROR(('01_Input_Timecourse'!T3-'01_Input_Timecourse'!S3)/$E3/$F3,"")</f>
        <v/>
      </c>
      <c r="L3" s="6">
        <f>IFERROR(('01_Input_Timecourse'!U3-'01_Input_Timecourse'!V3)/$E3/$F3,"")</f>
        <v/>
      </c>
      <c r="M3" s="6">
        <f>IFERROR(('01_Input_Timecourse'!W3-'01_Input_Timecourse'!X3)/$E3/$F3,"")</f>
        <v/>
      </c>
      <c r="N3" s="6">
        <f>IFERROR(('01_Input_Timecourse'!Y3-'01_Input_Timecourse'!Z3)/$E3/$F3,"")</f>
        <v/>
      </c>
      <c r="O3" s="6">
        <f>IFERROR(('01_Input_Timecourse'!AA3-'01_Input_Timecourse'!AB3)/$E3/$F3,"")</f>
        <v/>
      </c>
      <c r="P3" s="6">
        <f>IFERROR(('01_Input_Timecourse'!AC3-'01_Input_Timecourse'!AD3)/$E3/$F3,"")</f>
        <v/>
      </c>
      <c r="Q3" s="6">
        <f>IFERROR(('01_Input_Timecourse'!AE3-'01_Input_Timecourse'!AF3)/$E3/$F3,"")</f>
        <v/>
      </c>
      <c r="R3" s="6">
        <f>IFERROR(('01_Input_Timecourse'!AH3-'01_Input_Timecourse'!AG3)/$E3/$F3,"")</f>
        <v/>
      </c>
      <c r="S3" s="6">
        <f>IFERROR(('01_Input_Timecourse'!AJ3-'01_Input_Timecourse'!AI3)/$E3/$F3,"")</f>
        <v/>
      </c>
      <c r="T3" s="6">
        <f>IFERROR(('01_Input_Timecourse'!AL3-'01_Input_Timecourse'!AK3)/$E3/$F3,"")</f>
        <v/>
      </c>
      <c r="U3" s="6">
        <f>IFERROR(('01_Input_Timecourse'!AN3-'01_Input_Timecourse'!AM3)/$E3/$F3,"")</f>
        <v/>
      </c>
      <c r="V3" s="2">
        <f>IF(A3="","",IF(OR(E3&lt;=0,F3&lt;=0),"Check time/VCD","OK"))</f>
        <v/>
      </c>
    </row>
    <row r="4">
      <c r="A4" s="2">
        <f>'01_Input_Timecourse'!A4</f>
        <v/>
      </c>
      <c r="B4" s="2">
        <f>'01_Input_Timecourse'!B4</f>
        <v/>
      </c>
      <c r="C4" s="2">
        <f>'01_Input_Timecourse'!C4</f>
        <v/>
      </c>
      <c r="D4" s="2">
        <f>'01_Input_Timecourse'!D4</f>
        <v/>
      </c>
      <c r="E4" s="6">
        <f>IFERROR(('01_Input_Timecourse'!F4-'01_Input_Timecourse'!E4)/24,"")</f>
        <v/>
      </c>
      <c r="F4" s="6">
        <f>IFERROR(AVERAGE('01_Input_Timecourse'!G4:H4),"")</f>
        <v/>
      </c>
      <c r="G4" s="6">
        <f>IFERROR(('01_Input_Timecourse'!K4-'01_Input_Timecourse'!L4)/$E4/$F4,"")</f>
        <v/>
      </c>
      <c r="H4" s="6">
        <f>IFERROR(('01_Input_Timecourse'!N4-'01_Input_Timecourse'!M4)/$E4/$F4,"")</f>
        <v/>
      </c>
      <c r="I4" s="6">
        <f>IFERROR(('01_Input_Timecourse'!O4-'01_Input_Timecourse'!P4)/$E4/$F4,"")</f>
        <v/>
      </c>
      <c r="J4" s="6">
        <f>IFERROR(('01_Input_Timecourse'!R4-'01_Input_Timecourse'!Q4)/$E4/$F4,"")</f>
        <v/>
      </c>
      <c r="K4" s="6">
        <f>IFERROR(('01_Input_Timecourse'!T4-'01_Input_Timecourse'!S4)/$E4/$F4,"")</f>
        <v/>
      </c>
      <c r="L4" s="6">
        <f>IFERROR(('01_Input_Timecourse'!U4-'01_Input_Timecourse'!V4)/$E4/$F4,"")</f>
        <v/>
      </c>
      <c r="M4" s="6">
        <f>IFERROR(('01_Input_Timecourse'!W4-'01_Input_Timecourse'!X4)/$E4/$F4,"")</f>
        <v/>
      </c>
      <c r="N4" s="6">
        <f>IFERROR(('01_Input_Timecourse'!Y4-'01_Input_Timecourse'!Z4)/$E4/$F4,"")</f>
        <v/>
      </c>
      <c r="O4" s="6">
        <f>IFERROR(('01_Input_Timecourse'!AA4-'01_Input_Timecourse'!AB4)/$E4/$F4,"")</f>
        <v/>
      </c>
      <c r="P4" s="6">
        <f>IFERROR(('01_Input_Timecourse'!AC4-'01_Input_Timecourse'!AD4)/$E4/$F4,"")</f>
        <v/>
      </c>
      <c r="Q4" s="6">
        <f>IFERROR(('01_Input_Timecourse'!AE4-'01_Input_Timecourse'!AF4)/$E4/$F4,"")</f>
        <v/>
      </c>
      <c r="R4" s="6">
        <f>IFERROR(('01_Input_Timecourse'!AH4-'01_Input_Timecourse'!AG4)/$E4/$F4,"")</f>
        <v/>
      </c>
      <c r="S4" s="6">
        <f>IFERROR(('01_Input_Timecourse'!AJ4-'01_Input_Timecourse'!AI4)/$E4/$F4,"")</f>
        <v/>
      </c>
      <c r="T4" s="6">
        <f>IFERROR(('01_Input_Timecourse'!AL4-'01_Input_Timecourse'!AK4)/$E4/$F4,"")</f>
        <v/>
      </c>
      <c r="U4" s="6">
        <f>IFERROR(('01_Input_Timecourse'!AN4-'01_Input_Timecourse'!AM4)/$E4/$F4,"")</f>
        <v/>
      </c>
      <c r="V4" s="2">
        <f>IF(A4="","",IF(OR(E4&lt;=0,F4&lt;=0),"Check time/VCD","OK"))</f>
        <v/>
      </c>
    </row>
    <row r="5">
      <c r="A5" s="2">
        <f>'01_Input_Timecourse'!A5</f>
        <v/>
      </c>
      <c r="B5" s="2">
        <f>'01_Input_Timecourse'!B5</f>
        <v/>
      </c>
      <c r="C5" s="2">
        <f>'01_Input_Timecourse'!C5</f>
        <v/>
      </c>
      <c r="D5" s="2">
        <f>'01_Input_Timecourse'!D5</f>
        <v/>
      </c>
      <c r="E5" s="6">
        <f>IFERROR(('01_Input_Timecourse'!F5-'01_Input_Timecourse'!E5)/24,"")</f>
        <v/>
      </c>
      <c r="F5" s="6">
        <f>IFERROR(AVERAGE('01_Input_Timecourse'!G5:H5),"")</f>
        <v/>
      </c>
      <c r="G5" s="6">
        <f>IFERROR(('01_Input_Timecourse'!K5-'01_Input_Timecourse'!L5)/$E5/$F5,"")</f>
        <v/>
      </c>
      <c r="H5" s="6">
        <f>IFERROR(('01_Input_Timecourse'!N5-'01_Input_Timecourse'!M5)/$E5/$F5,"")</f>
        <v/>
      </c>
      <c r="I5" s="6">
        <f>IFERROR(('01_Input_Timecourse'!O5-'01_Input_Timecourse'!P5)/$E5/$F5,"")</f>
        <v/>
      </c>
      <c r="J5" s="6">
        <f>IFERROR(('01_Input_Timecourse'!R5-'01_Input_Timecourse'!Q5)/$E5/$F5,"")</f>
        <v/>
      </c>
      <c r="K5" s="6">
        <f>IFERROR(('01_Input_Timecourse'!T5-'01_Input_Timecourse'!S5)/$E5/$F5,"")</f>
        <v/>
      </c>
      <c r="L5" s="6">
        <f>IFERROR(('01_Input_Timecourse'!U5-'01_Input_Timecourse'!V5)/$E5/$F5,"")</f>
        <v/>
      </c>
      <c r="M5" s="6">
        <f>IFERROR(('01_Input_Timecourse'!W5-'01_Input_Timecourse'!X5)/$E5/$F5,"")</f>
        <v/>
      </c>
      <c r="N5" s="6">
        <f>IFERROR(('01_Input_Timecourse'!Y5-'01_Input_Timecourse'!Z5)/$E5/$F5,"")</f>
        <v/>
      </c>
      <c r="O5" s="6">
        <f>IFERROR(('01_Input_Timecourse'!AA5-'01_Input_Timecourse'!AB5)/$E5/$F5,"")</f>
        <v/>
      </c>
      <c r="P5" s="6">
        <f>IFERROR(('01_Input_Timecourse'!AC5-'01_Input_Timecourse'!AD5)/$E5/$F5,"")</f>
        <v/>
      </c>
      <c r="Q5" s="6">
        <f>IFERROR(('01_Input_Timecourse'!AE5-'01_Input_Timecourse'!AF5)/$E5/$F5,"")</f>
        <v/>
      </c>
      <c r="R5" s="6">
        <f>IFERROR(('01_Input_Timecourse'!AH5-'01_Input_Timecourse'!AG5)/$E5/$F5,"")</f>
        <v/>
      </c>
      <c r="S5" s="6">
        <f>IFERROR(('01_Input_Timecourse'!AJ5-'01_Input_Timecourse'!AI5)/$E5/$F5,"")</f>
        <v/>
      </c>
      <c r="T5" s="6">
        <f>IFERROR(('01_Input_Timecourse'!AL5-'01_Input_Timecourse'!AK5)/$E5/$F5,"")</f>
        <v/>
      </c>
      <c r="U5" s="6">
        <f>IFERROR(('01_Input_Timecourse'!AN5-'01_Input_Timecourse'!AM5)/$E5/$F5,"")</f>
        <v/>
      </c>
      <c r="V5" s="2">
        <f>IF(A5="","",IF(OR(E5&lt;=0,F5&lt;=0),"Check time/VCD","OK"))</f>
        <v/>
      </c>
    </row>
    <row r="6">
      <c r="A6" s="2">
        <f>'01_Input_Timecourse'!A6</f>
        <v/>
      </c>
      <c r="B6" s="2">
        <f>'01_Input_Timecourse'!B6</f>
        <v/>
      </c>
      <c r="C6" s="2">
        <f>'01_Input_Timecourse'!C6</f>
        <v/>
      </c>
      <c r="D6" s="2">
        <f>'01_Input_Timecourse'!D6</f>
        <v/>
      </c>
      <c r="E6" s="6">
        <f>IFERROR(('01_Input_Timecourse'!F6-'01_Input_Timecourse'!E6)/24,"")</f>
        <v/>
      </c>
      <c r="F6" s="6">
        <f>IFERROR(AVERAGE('01_Input_Timecourse'!G6:H6),"")</f>
        <v/>
      </c>
      <c r="G6" s="6">
        <f>IFERROR(('01_Input_Timecourse'!K6-'01_Input_Timecourse'!L6)/$E6/$F6,"")</f>
        <v/>
      </c>
      <c r="H6" s="6">
        <f>IFERROR(('01_Input_Timecourse'!N6-'01_Input_Timecourse'!M6)/$E6/$F6,"")</f>
        <v/>
      </c>
      <c r="I6" s="6">
        <f>IFERROR(('01_Input_Timecourse'!O6-'01_Input_Timecourse'!P6)/$E6/$F6,"")</f>
        <v/>
      </c>
      <c r="J6" s="6">
        <f>IFERROR(('01_Input_Timecourse'!R6-'01_Input_Timecourse'!Q6)/$E6/$F6,"")</f>
        <v/>
      </c>
      <c r="K6" s="6">
        <f>IFERROR(('01_Input_Timecourse'!T6-'01_Input_Timecourse'!S6)/$E6/$F6,"")</f>
        <v/>
      </c>
      <c r="L6" s="6">
        <f>IFERROR(('01_Input_Timecourse'!U6-'01_Input_Timecourse'!V6)/$E6/$F6,"")</f>
        <v/>
      </c>
      <c r="M6" s="6">
        <f>IFERROR(('01_Input_Timecourse'!W6-'01_Input_Timecourse'!X6)/$E6/$F6,"")</f>
        <v/>
      </c>
      <c r="N6" s="6">
        <f>IFERROR(('01_Input_Timecourse'!Y6-'01_Input_Timecourse'!Z6)/$E6/$F6,"")</f>
        <v/>
      </c>
      <c r="O6" s="6">
        <f>IFERROR(('01_Input_Timecourse'!AA6-'01_Input_Timecourse'!AB6)/$E6/$F6,"")</f>
        <v/>
      </c>
      <c r="P6" s="6">
        <f>IFERROR(('01_Input_Timecourse'!AC6-'01_Input_Timecourse'!AD6)/$E6/$F6,"")</f>
        <v/>
      </c>
      <c r="Q6" s="6">
        <f>IFERROR(('01_Input_Timecourse'!AE6-'01_Input_Timecourse'!AF6)/$E6/$F6,"")</f>
        <v/>
      </c>
      <c r="R6" s="6">
        <f>IFERROR(('01_Input_Timecourse'!AH6-'01_Input_Timecourse'!AG6)/$E6/$F6,"")</f>
        <v/>
      </c>
      <c r="S6" s="6">
        <f>IFERROR(('01_Input_Timecourse'!AJ6-'01_Input_Timecourse'!AI6)/$E6/$F6,"")</f>
        <v/>
      </c>
      <c r="T6" s="6">
        <f>IFERROR(('01_Input_Timecourse'!AL6-'01_Input_Timecourse'!AK6)/$E6/$F6,"")</f>
        <v/>
      </c>
      <c r="U6" s="6">
        <f>IFERROR(('01_Input_Timecourse'!AN6-'01_Input_Timecourse'!AM6)/$E6/$F6,"")</f>
        <v/>
      </c>
      <c r="V6" s="2">
        <f>IF(A6="","",IF(OR(E6&lt;=0,F6&lt;=0),"Check time/VCD","OK"))</f>
        <v/>
      </c>
    </row>
    <row r="7">
      <c r="A7" s="2">
        <f>'01_Input_Timecourse'!A7</f>
        <v/>
      </c>
      <c r="B7" s="2">
        <f>'01_Input_Timecourse'!B7</f>
        <v/>
      </c>
      <c r="C7" s="2">
        <f>'01_Input_Timecourse'!C7</f>
        <v/>
      </c>
      <c r="D7" s="2">
        <f>'01_Input_Timecourse'!D7</f>
        <v/>
      </c>
      <c r="E7" s="6">
        <f>IFERROR(('01_Input_Timecourse'!F7-'01_Input_Timecourse'!E7)/24,"")</f>
        <v/>
      </c>
      <c r="F7" s="6">
        <f>IFERROR(AVERAGE('01_Input_Timecourse'!G7:H7),"")</f>
        <v/>
      </c>
      <c r="G7" s="6">
        <f>IFERROR(('01_Input_Timecourse'!K7-'01_Input_Timecourse'!L7)/$E7/$F7,"")</f>
        <v/>
      </c>
      <c r="H7" s="6">
        <f>IFERROR(('01_Input_Timecourse'!N7-'01_Input_Timecourse'!M7)/$E7/$F7,"")</f>
        <v/>
      </c>
      <c r="I7" s="6">
        <f>IFERROR(('01_Input_Timecourse'!O7-'01_Input_Timecourse'!P7)/$E7/$F7,"")</f>
        <v/>
      </c>
      <c r="J7" s="6">
        <f>IFERROR(('01_Input_Timecourse'!R7-'01_Input_Timecourse'!Q7)/$E7/$F7,"")</f>
        <v/>
      </c>
      <c r="K7" s="6">
        <f>IFERROR(('01_Input_Timecourse'!T7-'01_Input_Timecourse'!S7)/$E7/$F7,"")</f>
        <v/>
      </c>
      <c r="L7" s="6">
        <f>IFERROR(('01_Input_Timecourse'!U7-'01_Input_Timecourse'!V7)/$E7/$F7,"")</f>
        <v/>
      </c>
      <c r="M7" s="6">
        <f>IFERROR(('01_Input_Timecourse'!W7-'01_Input_Timecourse'!X7)/$E7/$F7,"")</f>
        <v/>
      </c>
      <c r="N7" s="6">
        <f>IFERROR(('01_Input_Timecourse'!Y7-'01_Input_Timecourse'!Z7)/$E7/$F7,"")</f>
        <v/>
      </c>
      <c r="O7" s="6">
        <f>IFERROR(('01_Input_Timecourse'!AA7-'01_Input_Timecourse'!AB7)/$E7/$F7,"")</f>
        <v/>
      </c>
      <c r="P7" s="6">
        <f>IFERROR(('01_Input_Timecourse'!AC7-'01_Input_Timecourse'!AD7)/$E7/$F7,"")</f>
        <v/>
      </c>
      <c r="Q7" s="6">
        <f>IFERROR(('01_Input_Timecourse'!AE7-'01_Input_Timecourse'!AF7)/$E7/$F7,"")</f>
        <v/>
      </c>
      <c r="R7" s="6">
        <f>IFERROR(('01_Input_Timecourse'!AH7-'01_Input_Timecourse'!AG7)/$E7/$F7,"")</f>
        <v/>
      </c>
      <c r="S7" s="6">
        <f>IFERROR(('01_Input_Timecourse'!AJ7-'01_Input_Timecourse'!AI7)/$E7/$F7,"")</f>
        <v/>
      </c>
      <c r="T7" s="6">
        <f>IFERROR(('01_Input_Timecourse'!AL7-'01_Input_Timecourse'!AK7)/$E7/$F7,"")</f>
        <v/>
      </c>
      <c r="U7" s="6">
        <f>IFERROR(('01_Input_Timecourse'!AN7-'01_Input_Timecourse'!AM7)/$E7/$F7,"")</f>
        <v/>
      </c>
      <c r="V7" s="2">
        <f>IF(A7="","",IF(OR(E7&lt;=0,F7&lt;=0),"Check time/VCD","OK"))</f>
        <v/>
      </c>
    </row>
    <row r="8">
      <c r="A8" s="2">
        <f>'01_Input_Timecourse'!A8</f>
        <v/>
      </c>
      <c r="B8" s="2">
        <f>'01_Input_Timecourse'!B8</f>
        <v/>
      </c>
      <c r="C8" s="2">
        <f>'01_Input_Timecourse'!C8</f>
        <v/>
      </c>
      <c r="D8" s="2">
        <f>'01_Input_Timecourse'!D8</f>
        <v/>
      </c>
      <c r="E8" s="6">
        <f>IFERROR(('01_Input_Timecourse'!F8-'01_Input_Timecourse'!E8)/24,"")</f>
        <v/>
      </c>
      <c r="F8" s="6">
        <f>IFERROR(AVERAGE('01_Input_Timecourse'!G8:H8),"")</f>
        <v/>
      </c>
      <c r="G8" s="6">
        <f>IFERROR(('01_Input_Timecourse'!K8-'01_Input_Timecourse'!L8)/$E8/$F8,"")</f>
        <v/>
      </c>
      <c r="H8" s="6">
        <f>IFERROR(('01_Input_Timecourse'!N8-'01_Input_Timecourse'!M8)/$E8/$F8,"")</f>
        <v/>
      </c>
      <c r="I8" s="6">
        <f>IFERROR(('01_Input_Timecourse'!O8-'01_Input_Timecourse'!P8)/$E8/$F8,"")</f>
        <v/>
      </c>
      <c r="J8" s="6">
        <f>IFERROR(('01_Input_Timecourse'!R8-'01_Input_Timecourse'!Q8)/$E8/$F8,"")</f>
        <v/>
      </c>
      <c r="K8" s="6">
        <f>IFERROR(('01_Input_Timecourse'!T8-'01_Input_Timecourse'!S8)/$E8/$F8,"")</f>
        <v/>
      </c>
      <c r="L8" s="6">
        <f>IFERROR(('01_Input_Timecourse'!U8-'01_Input_Timecourse'!V8)/$E8/$F8,"")</f>
        <v/>
      </c>
      <c r="M8" s="6">
        <f>IFERROR(('01_Input_Timecourse'!W8-'01_Input_Timecourse'!X8)/$E8/$F8,"")</f>
        <v/>
      </c>
      <c r="N8" s="6">
        <f>IFERROR(('01_Input_Timecourse'!Y8-'01_Input_Timecourse'!Z8)/$E8/$F8,"")</f>
        <v/>
      </c>
      <c r="O8" s="6">
        <f>IFERROR(('01_Input_Timecourse'!AA8-'01_Input_Timecourse'!AB8)/$E8/$F8,"")</f>
        <v/>
      </c>
      <c r="P8" s="6">
        <f>IFERROR(('01_Input_Timecourse'!AC8-'01_Input_Timecourse'!AD8)/$E8/$F8,"")</f>
        <v/>
      </c>
      <c r="Q8" s="6">
        <f>IFERROR(('01_Input_Timecourse'!AE8-'01_Input_Timecourse'!AF8)/$E8/$F8,"")</f>
        <v/>
      </c>
      <c r="R8" s="6">
        <f>IFERROR(('01_Input_Timecourse'!AH8-'01_Input_Timecourse'!AG8)/$E8/$F8,"")</f>
        <v/>
      </c>
      <c r="S8" s="6">
        <f>IFERROR(('01_Input_Timecourse'!AJ8-'01_Input_Timecourse'!AI8)/$E8/$F8,"")</f>
        <v/>
      </c>
      <c r="T8" s="6">
        <f>IFERROR(('01_Input_Timecourse'!AL8-'01_Input_Timecourse'!AK8)/$E8/$F8,"")</f>
        <v/>
      </c>
      <c r="U8" s="6">
        <f>IFERROR(('01_Input_Timecourse'!AN8-'01_Input_Timecourse'!AM8)/$E8/$F8,"")</f>
        <v/>
      </c>
      <c r="V8" s="2">
        <f>IF(A8="","",IF(OR(E8&lt;=0,F8&lt;=0),"Check time/VCD","OK"))</f>
        <v/>
      </c>
    </row>
    <row r="9">
      <c r="A9" s="2">
        <f>'01_Input_Timecourse'!A9</f>
        <v/>
      </c>
      <c r="B9" s="2">
        <f>'01_Input_Timecourse'!B9</f>
        <v/>
      </c>
      <c r="C9" s="2">
        <f>'01_Input_Timecourse'!C9</f>
        <v/>
      </c>
      <c r="D9" s="2">
        <f>'01_Input_Timecourse'!D9</f>
        <v/>
      </c>
      <c r="E9" s="6">
        <f>IFERROR(('01_Input_Timecourse'!F9-'01_Input_Timecourse'!E9)/24,"")</f>
        <v/>
      </c>
      <c r="F9" s="6">
        <f>IFERROR(AVERAGE('01_Input_Timecourse'!G9:H9),"")</f>
        <v/>
      </c>
      <c r="G9" s="6">
        <f>IFERROR(('01_Input_Timecourse'!K9-'01_Input_Timecourse'!L9)/$E9/$F9,"")</f>
        <v/>
      </c>
      <c r="H9" s="6">
        <f>IFERROR(('01_Input_Timecourse'!N9-'01_Input_Timecourse'!M9)/$E9/$F9,"")</f>
        <v/>
      </c>
      <c r="I9" s="6">
        <f>IFERROR(('01_Input_Timecourse'!O9-'01_Input_Timecourse'!P9)/$E9/$F9,"")</f>
        <v/>
      </c>
      <c r="J9" s="6">
        <f>IFERROR(('01_Input_Timecourse'!R9-'01_Input_Timecourse'!Q9)/$E9/$F9,"")</f>
        <v/>
      </c>
      <c r="K9" s="6">
        <f>IFERROR(('01_Input_Timecourse'!T9-'01_Input_Timecourse'!S9)/$E9/$F9,"")</f>
        <v/>
      </c>
      <c r="L9" s="6">
        <f>IFERROR(('01_Input_Timecourse'!U9-'01_Input_Timecourse'!V9)/$E9/$F9,"")</f>
        <v/>
      </c>
      <c r="M9" s="6">
        <f>IFERROR(('01_Input_Timecourse'!W9-'01_Input_Timecourse'!X9)/$E9/$F9,"")</f>
        <v/>
      </c>
      <c r="N9" s="6">
        <f>IFERROR(('01_Input_Timecourse'!Y9-'01_Input_Timecourse'!Z9)/$E9/$F9,"")</f>
        <v/>
      </c>
      <c r="O9" s="6">
        <f>IFERROR(('01_Input_Timecourse'!AA9-'01_Input_Timecourse'!AB9)/$E9/$F9,"")</f>
        <v/>
      </c>
      <c r="P9" s="6">
        <f>IFERROR(('01_Input_Timecourse'!AC9-'01_Input_Timecourse'!AD9)/$E9/$F9,"")</f>
        <v/>
      </c>
      <c r="Q9" s="6">
        <f>IFERROR(('01_Input_Timecourse'!AE9-'01_Input_Timecourse'!AF9)/$E9/$F9,"")</f>
        <v/>
      </c>
      <c r="R9" s="6">
        <f>IFERROR(('01_Input_Timecourse'!AH9-'01_Input_Timecourse'!AG9)/$E9/$F9,"")</f>
        <v/>
      </c>
      <c r="S9" s="6">
        <f>IFERROR(('01_Input_Timecourse'!AJ9-'01_Input_Timecourse'!AI9)/$E9/$F9,"")</f>
        <v/>
      </c>
      <c r="T9" s="6">
        <f>IFERROR(('01_Input_Timecourse'!AL9-'01_Input_Timecourse'!AK9)/$E9/$F9,"")</f>
        <v/>
      </c>
      <c r="U9" s="6">
        <f>IFERROR(('01_Input_Timecourse'!AN9-'01_Input_Timecourse'!AM9)/$E9/$F9,"")</f>
        <v/>
      </c>
      <c r="V9" s="2">
        <f>IF(A9="","",IF(OR(E9&lt;=0,F9&lt;=0),"Check time/VCD","OK"))</f>
        <v/>
      </c>
    </row>
    <row r="10">
      <c r="A10" s="2">
        <f>'01_Input_Timecourse'!A10</f>
        <v/>
      </c>
      <c r="B10" s="2">
        <f>'01_Input_Timecourse'!B10</f>
        <v/>
      </c>
      <c r="C10" s="2">
        <f>'01_Input_Timecourse'!C10</f>
        <v/>
      </c>
      <c r="D10" s="2">
        <f>'01_Input_Timecourse'!D10</f>
        <v/>
      </c>
      <c r="E10" s="6">
        <f>IFERROR(('01_Input_Timecourse'!F10-'01_Input_Timecourse'!E10)/24,"")</f>
        <v/>
      </c>
      <c r="F10" s="6">
        <f>IFERROR(AVERAGE('01_Input_Timecourse'!G10:H10),"")</f>
        <v/>
      </c>
      <c r="G10" s="6">
        <f>IFERROR(('01_Input_Timecourse'!K10-'01_Input_Timecourse'!L10)/$E10/$F10,"")</f>
        <v/>
      </c>
      <c r="H10" s="6">
        <f>IFERROR(('01_Input_Timecourse'!N10-'01_Input_Timecourse'!M10)/$E10/$F10,"")</f>
        <v/>
      </c>
      <c r="I10" s="6">
        <f>IFERROR(('01_Input_Timecourse'!O10-'01_Input_Timecourse'!P10)/$E10/$F10,"")</f>
        <v/>
      </c>
      <c r="J10" s="6">
        <f>IFERROR(('01_Input_Timecourse'!R10-'01_Input_Timecourse'!Q10)/$E10/$F10,"")</f>
        <v/>
      </c>
      <c r="K10" s="6">
        <f>IFERROR(('01_Input_Timecourse'!T10-'01_Input_Timecourse'!S10)/$E10/$F10,"")</f>
        <v/>
      </c>
      <c r="L10" s="6">
        <f>IFERROR(('01_Input_Timecourse'!U10-'01_Input_Timecourse'!V10)/$E10/$F10,"")</f>
        <v/>
      </c>
      <c r="M10" s="6">
        <f>IFERROR(('01_Input_Timecourse'!W10-'01_Input_Timecourse'!X10)/$E10/$F10,"")</f>
        <v/>
      </c>
      <c r="N10" s="6">
        <f>IFERROR(('01_Input_Timecourse'!Y10-'01_Input_Timecourse'!Z10)/$E10/$F10,"")</f>
        <v/>
      </c>
      <c r="O10" s="6">
        <f>IFERROR(('01_Input_Timecourse'!AA10-'01_Input_Timecourse'!AB10)/$E10/$F10,"")</f>
        <v/>
      </c>
      <c r="P10" s="6">
        <f>IFERROR(('01_Input_Timecourse'!AC10-'01_Input_Timecourse'!AD10)/$E10/$F10,"")</f>
        <v/>
      </c>
      <c r="Q10" s="6">
        <f>IFERROR(('01_Input_Timecourse'!AE10-'01_Input_Timecourse'!AF10)/$E10/$F10,"")</f>
        <v/>
      </c>
      <c r="R10" s="6">
        <f>IFERROR(('01_Input_Timecourse'!AH10-'01_Input_Timecourse'!AG10)/$E10/$F10,"")</f>
        <v/>
      </c>
      <c r="S10" s="6">
        <f>IFERROR(('01_Input_Timecourse'!AJ10-'01_Input_Timecourse'!AI10)/$E10/$F10,"")</f>
        <v/>
      </c>
      <c r="T10" s="6">
        <f>IFERROR(('01_Input_Timecourse'!AL10-'01_Input_Timecourse'!AK10)/$E10/$F10,"")</f>
        <v/>
      </c>
      <c r="U10" s="6">
        <f>IFERROR(('01_Input_Timecourse'!AN10-'01_Input_Timecourse'!AM10)/$E10/$F10,"")</f>
        <v/>
      </c>
      <c r="V10" s="2">
        <f>IF(A10="","",IF(OR(E10&lt;=0,F10&lt;=0),"Check time/VCD","OK"))</f>
        <v/>
      </c>
    </row>
    <row r="11">
      <c r="A11" s="2">
        <f>'01_Input_Timecourse'!A11</f>
        <v/>
      </c>
      <c r="B11" s="2">
        <f>'01_Input_Timecourse'!B11</f>
        <v/>
      </c>
      <c r="C11" s="2">
        <f>'01_Input_Timecourse'!C11</f>
        <v/>
      </c>
      <c r="D11" s="2">
        <f>'01_Input_Timecourse'!D11</f>
        <v/>
      </c>
      <c r="E11" s="6">
        <f>IFERROR(('01_Input_Timecourse'!F11-'01_Input_Timecourse'!E11)/24,"")</f>
        <v/>
      </c>
      <c r="F11" s="6">
        <f>IFERROR(AVERAGE('01_Input_Timecourse'!G11:H11),"")</f>
        <v/>
      </c>
      <c r="G11" s="6">
        <f>IFERROR(('01_Input_Timecourse'!K11-'01_Input_Timecourse'!L11)/$E11/$F11,"")</f>
        <v/>
      </c>
      <c r="H11" s="6">
        <f>IFERROR(('01_Input_Timecourse'!N11-'01_Input_Timecourse'!M11)/$E11/$F11,"")</f>
        <v/>
      </c>
      <c r="I11" s="6">
        <f>IFERROR(('01_Input_Timecourse'!O11-'01_Input_Timecourse'!P11)/$E11/$F11,"")</f>
        <v/>
      </c>
      <c r="J11" s="6">
        <f>IFERROR(('01_Input_Timecourse'!R11-'01_Input_Timecourse'!Q11)/$E11/$F11,"")</f>
        <v/>
      </c>
      <c r="K11" s="6">
        <f>IFERROR(('01_Input_Timecourse'!T11-'01_Input_Timecourse'!S11)/$E11/$F11,"")</f>
        <v/>
      </c>
      <c r="L11" s="6">
        <f>IFERROR(('01_Input_Timecourse'!U11-'01_Input_Timecourse'!V11)/$E11/$F11,"")</f>
        <v/>
      </c>
      <c r="M11" s="6">
        <f>IFERROR(('01_Input_Timecourse'!W11-'01_Input_Timecourse'!X11)/$E11/$F11,"")</f>
        <v/>
      </c>
      <c r="N11" s="6">
        <f>IFERROR(('01_Input_Timecourse'!Y11-'01_Input_Timecourse'!Z11)/$E11/$F11,"")</f>
        <v/>
      </c>
      <c r="O11" s="6">
        <f>IFERROR(('01_Input_Timecourse'!AA11-'01_Input_Timecourse'!AB11)/$E11/$F11,"")</f>
        <v/>
      </c>
      <c r="P11" s="6">
        <f>IFERROR(('01_Input_Timecourse'!AC11-'01_Input_Timecourse'!AD11)/$E11/$F11,"")</f>
        <v/>
      </c>
      <c r="Q11" s="6">
        <f>IFERROR(('01_Input_Timecourse'!AE11-'01_Input_Timecourse'!AF11)/$E11/$F11,"")</f>
        <v/>
      </c>
      <c r="R11" s="6">
        <f>IFERROR(('01_Input_Timecourse'!AH11-'01_Input_Timecourse'!AG11)/$E11/$F11,"")</f>
        <v/>
      </c>
      <c r="S11" s="6">
        <f>IFERROR(('01_Input_Timecourse'!AJ11-'01_Input_Timecourse'!AI11)/$E11/$F11,"")</f>
        <v/>
      </c>
      <c r="T11" s="6">
        <f>IFERROR(('01_Input_Timecourse'!AL11-'01_Input_Timecourse'!AK11)/$E11/$F11,"")</f>
        <v/>
      </c>
      <c r="U11" s="6">
        <f>IFERROR(('01_Input_Timecourse'!AN11-'01_Input_Timecourse'!AM11)/$E11/$F11,"")</f>
        <v/>
      </c>
      <c r="V11" s="2">
        <f>IF(A11="","",IF(OR(E11&lt;=0,F11&lt;=0),"Check time/VCD","OK"))</f>
        <v/>
      </c>
    </row>
    <row r="12">
      <c r="A12" s="2">
        <f>'01_Input_Timecourse'!A12</f>
        <v/>
      </c>
      <c r="B12" s="2">
        <f>'01_Input_Timecourse'!B12</f>
        <v/>
      </c>
      <c r="C12" s="2">
        <f>'01_Input_Timecourse'!C12</f>
        <v/>
      </c>
      <c r="D12" s="2">
        <f>'01_Input_Timecourse'!D12</f>
        <v/>
      </c>
      <c r="E12" s="6">
        <f>IFERROR(('01_Input_Timecourse'!F12-'01_Input_Timecourse'!E12)/24,"")</f>
        <v/>
      </c>
      <c r="F12" s="6">
        <f>IFERROR(AVERAGE('01_Input_Timecourse'!G12:H12),"")</f>
        <v/>
      </c>
      <c r="G12" s="6">
        <f>IFERROR(('01_Input_Timecourse'!K12-'01_Input_Timecourse'!L12)/$E12/$F12,"")</f>
        <v/>
      </c>
      <c r="H12" s="6">
        <f>IFERROR(('01_Input_Timecourse'!N12-'01_Input_Timecourse'!M12)/$E12/$F12,"")</f>
        <v/>
      </c>
      <c r="I12" s="6">
        <f>IFERROR(('01_Input_Timecourse'!O12-'01_Input_Timecourse'!P12)/$E12/$F12,"")</f>
        <v/>
      </c>
      <c r="J12" s="6">
        <f>IFERROR(('01_Input_Timecourse'!R12-'01_Input_Timecourse'!Q12)/$E12/$F12,"")</f>
        <v/>
      </c>
      <c r="K12" s="6">
        <f>IFERROR(('01_Input_Timecourse'!T12-'01_Input_Timecourse'!S12)/$E12/$F12,"")</f>
        <v/>
      </c>
      <c r="L12" s="6">
        <f>IFERROR(('01_Input_Timecourse'!U12-'01_Input_Timecourse'!V12)/$E12/$F12,"")</f>
        <v/>
      </c>
      <c r="M12" s="6">
        <f>IFERROR(('01_Input_Timecourse'!W12-'01_Input_Timecourse'!X12)/$E12/$F12,"")</f>
        <v/>
      </c>
      <c r="N12" s="6">
        <f>IFERROR(('01_Input_Timecourse'!Y12-'01_Input_Timecourse'!Z12)/$E12/$F12,"")</f>
        <v/>
      </c>
      <c r="O12" s="6">
        <f>IFERROR(('01_Input_Timecourse'!AA12-'01_Input_Timecourse'!AB12)/$E12/$F12,"")</f>
        <v/>
      </c>
      <c r="P12" s="6">
        <f>IFERROR(('01_Input_Timecourse'!AC12-'01_Input_Timecourse'!AD12)/$E12/$F12,"")</f>
        <v/>
      </c>
      <c r="Q12" s="6">
        <f>IFERROR(('01_Input_Timecourse'!AE12-'01_Input_Timecourse'!AF12)/$E12/$F12,"")</f>
        <v/>
      </c>
      <c r="R12" s="6">
        <f>IFERROR(('01_Input_Timecourse'!AH12-'01_Input_Timecourse'!AG12)/$E12/$F12,"")</f>
        <v/>
      </c>
      <c r="S12" s="6">
        <f>IFERROR(('01_Input_Timecourse'!AJ12-'01_Input_Timecourse'!AI12)/$E12/$F12,"")</f>
        <v/>
      </c>
      <c r="T12" s="6">
        <f>IFERROR(('01_Input_Timecourse'!AL12-'01_Input_Timecourse'!AK12)/$E12/$F12,"")</f>
        <v/>
      </c>
      <c r="U12" s="6">
        <f>IFERROR(('01_Input_Timecourse'!AN12-'01_Input_Timecourse'!AM12)/$E12/$F12,"")</f>
        <v/>
      </c>
      <c r="V12" s="2">
        <f>IF(A12="","",IF(OR(E12&lt;=0,F12&lt;=0),"Check time/VCD","OK"))</f>
        <v/>
      </c>
    </row>
    <row r="13">
      <c r="A13" s="2">
        <f>'01_Input_Timecourse'!A13</f>
        <v/>
      </c>
      <c r="B13" s="2">
        <f>'01_Input_Timecourse'!B13</f>
        <v/>
      </c>
      <c r="C13" s="2">
        <f>'01_Input_Timecourse'!C13</f>
        <v/>
      </c>
      <c r="D13" s="2">
        <f>'01_Input_Timecourse'!D13</f>
        <v/>
      </c>
      <c r="E13" s="6">
        <f>IFERROR(('01_Input_Timecourse'!F13-'01_Input_Timecourse'!E13)/24,"")</f>
        <v/>
      </c>
      <c r="F13" s="6">
        <f>IFERROR(AVERAGE('01_Input_Timecourse'!G13:H13),"")</f>
        <v/>
      </c>
      <c r="G13" s="6">
        <f>IFERROR(('01_Input_Timecourse'!K13-'01_Input_Timecourse'!L13)/$E13/$F13,"")</f>
        <v/>
      </c>
      <c r="H13" s="6">
        <f>IFERROR(('01_Input_Timecourse'!N13-'01_Input_Timecourse'!M13)/$E13/$F13,"")</f>
        <v/>
      </c>
      <c r="I13" s="6">
        <f>IFERROR(('01_Input_Timecourse'!O13-'01_Input_Timecourse'!P13)/$E13/$F13,"")</f>
        <v/>
      </c>
      <c r="J13" s="6">
        <f>IFERROR(('01_Input_Timecourse'!R13-'01_Input_Timecourse'!Q13)/$E13/$F13,"")</f>
        <v/>
      </c>
      <c r="K13" s="6">
        <f>IFERROR(('01_Input_Timecourse'!T13-'01_Input_Timecourse'!S13)/$E13/$F13,"")</f>
        <v/>
      </c>
      <c r="L13" s="6">
        <f>IFERROR(('01_Input_Timecourse'!U13-'01_Input_Timecourse'!V13)/$E13/$F13,"")</f>
        <v/>
      </c>
      <c r="M13" s="6">
        <f>IFERROR(('01_Input_Timecourse'!W13-'01_Input_Timecourse'!X13)/$E13/$F13,"")</f>
        <v/>
      </c>
      <c r="N13" s="6">
        <f>IFERROR(('01_Input_Timecourse'!Y13-'01_Input_Timecourse'!Z13)/$E13/$F13,"")</f>
        <v/>
      </c>
      <c r="O13" s="6">
        <f>IFERROR(('01_Input_Timecourse'!AA13-'01_Input_Timecourse'!AB13)/$E13/$F13,"")</f>
        <v/>
      </c>
      <c r="P13" s="6">
        <f>IFERROR(('01_Input_Timecourse'!AC13-'01_Input_Timecourse'!AD13)/$E13/$F13,"")</f>
        <v/>
      </c>
      <c r="Q13" s="6">
        <f>IFERROR(('01_Input_Timecourse'!AE13-'01_Input_Timecourse'!AF13)/$E13/$F13,"")</f>
        <v/>
      </c>
      <c r="R13" s="6">
        <f>IFERROR(('01_Input_Timecourse'!AH13-'01_Input_Timecourse'!AG13)/$E13/$F13,"")</f>
        <v/>
      </c>
      <c r="S13" s="6">
        <f>IFERROR(('01_Input_Timecourse'!AJ13-'01_Input_Timecourse'!AI13)/$E13/$F13,"")</f>
        <v/>
      </c>
      <c r="T13" s="6">
        <f>IFERROR(('01_Input_Timecourse'!AL13-'01_Input_Timecourse'!AK13)/$E13/$F13,"")</f>
        <v/>
      </c>
      <c r="U13" s="6">
        <f>IFERROR(('01_Input_Timecourse'!AN13-'01_Input_Timecourse'!AM13)/$E13/$F13,"")</f>
        <v/>
      </c>
      <c r="V13" s="2">
        <f>IF(A13="","",IF(OR(E13&lt;=0,F13&lt;=0),"Check time/VCD","OK"))</f>
        <v/>
      </c>
    </row>
    <row r="14">
      <c r="A14" s="2">
        <f>'01_Input_Timecourse'!A14</f>
        <v/>
      </c>
      <c r="B14" s="2">
        <f>'01_Input_Timecourse'!B14</f>
        <v/>
      </c>
      <c r="C14" s="2">
        <f>'01_Input_Timecourse'!C14</f>
        <v/>
      </c>
      <c r="D14" s="2">
        <f>'01_Input_Timecourse'!D14</f>
        <v/>
      </c>
      <c r="E14" s="6">
        <f>IFERROR(('01_Input_Timecourse'!F14-'01_Input_Timecourse'!E14)/24,"")</f>
        <v/>
      </c>
      <c r="F14" s="6">
        <f>IFERROR(AVERAGE('01_Input_Timecourse'!G14:H14),"")</f>
        <v/>
      </c>
      <c r="G14" s="6">
        <f>IFERROR(('01_Input_Timecourse'!K14-'01_Input_Timecourse'!L14)/$E14/$F14,"")</f>
        <v/>
      </c>
      <c r="H14" s="6">
        <f>IFERROR(('01_Input_Timecourse'!N14-'01_Input_Timecourse'!M14)/$E14/$F14,"")</f>
        <v/>
      </c>
      <c r="I14" s="6">
        <f>IFERROR(('01_Input_Timecourse'!O14-'01_Input_Timecourse'!P14)/$E14/$F14,"")</f>
        <v/>
      </c>
      <c r="J14" s="6">
        <f>IFERROR(('01_Input_Timecourse'!R14-'01_Input_Timecourse'!Q14)/$E14/$F14,"")</f>
        <v/>
      </c>
      <c r="K14" s="6">
        <f>IFERROR(('01_Input_Timecourse'!T14-'01_Input_Timecourse'!S14)/$E14/$F14,"")</f>
        <v/>
      </c>
      <c r="L14" s="6">
        <f>IFERROR(('01_Input_Timecourse'!U14-'01_Input_Timecourse'!V14)/$E14/$F14,"")</f>
        <v/>
      </c>
      <c r="M14" s="6">
        <f>IFERROR(('01_Input_Timecourse'!W14-'01_Input_Timecourse'!X14)/$E14/$F14,"")</f>
        <v/>
      </c>
      <c r="N14" s="6">
        <f>IFERROR(('01_Input_Timecourse'!Y14-'01_Input_Timecourse'!Z14)/$E14/$F14,"")</f>
        <v/>
      </c>
      <c r="O14" s="6">
        <f>IFERROR(('01_Input_Timecourse'!AA14-'01_Input_Timecourse'!AB14)/$E14/$F14,"")</f>
        <v/>
      </c>
      <c r="P14" s="6">
        <f>IFERROR(('01_Input_Timecourse'!AC14-'01_Input_Timecourse'!AD14)/$E14/$F14,"")</f>
        <v/>
      </c>
      <c r="Q14" s="6">
        <f>IFERROR(('01_Input_Timecourse'!AE14-'01_Input_Timecourse'!AF14)/$E14/$F14,"")</f>
        <v/>
      </c>
      <c r="R14" s="6">
        <f>IFERROR(('01_Input_Timecourse'!AH14-'01_Input_Timecourse'!AG14)/$E14/$F14,"")</f>
        <v/>
      </c>
      <c r="S14" s="6">
        <f>IFERROR(('01_Input_Timecourse'!AJ14-'01_Input_Timecourse'!AI14)/$E14/$F14,"")</f>
        <v/>
      </c>
      <c r="T14" s="6">
        <f>IFERROR(('01_Input_Timecourse'!AL14-'01_Input_Timecourse'!AK14)/$E14/$F14,"")</f>
        <v/>
      </c>
      <c r="U14" s="6">
        <f>IFERROR(('01_Input_Timecourse'!AN14-'01_Input_Timecourse'!AM14)/$E14/$F14,"")</f>
        <v/>
      </c>
      <c r="V14" s="2">
        <f>IF(A14="","",IF(OR(E14&lt;=0,F14&lt;=0),"Check time/VCD","OK"))</f>
        <v/>
      </c>
    </row>
    <row r="15">
      <c r="A15" s="2">
        <f>'01_Input_Timecourse'!A15</f>
        <v/>
      </c>
      <c r="B15" s="2">
        <f>'01_Input_Timecourse'!B15</f>
        <v/>
      </c>
      <c r="C15" s="2">
        <f>'01_Input_Timecourse'!C15</f>
        <v/>
      </c>
      <c r="D15" s="2">
        <f>'01_Input_Timecourse'!D15</f>
        <v/>
      </c>
      <c r="E15" s="6">
        <f>IFERROR(('01_Input_Timecourse'!F15-'01_Input_Timecourse'!E15)/24,"")</f>
        <v/>
      </c>
      <c r="F15" s="6">
        <f>IFERROR(AVERAGE('01_Input_Timecourse'!G15:H15),"")</f>
        <v/>
      </c>
      <c r="G15" s="6">
        <f>IFERROR(('01_Input_Timecourse'!K15-'01_Input_Timecourse'!L15)/$E15/$F15,"")</f>
        <v/>
      </c>
      <c r="H15" s="6">
        <f>IFERROR(('01_Input_Timecourse'!N15-'01_Input_Timecourse'!M15)/$E15/$F15,"")</f>
        <v/>
      </c>
      <c r="I15" s="6">
        <f>IFERROR(('01_Input_Timecourse'!O15-'01_Input_Timecourse'!P15)/$E15/$F15,"")</f>
        <v/>
      </c>
      <c r="J15" s="6">
        <f>IFERROR(('01_Input_Timecourse'!R15-'01_Input_Timecourse'!Q15)/$E15/$F15,"")</f>
        <v/>
      </c>
      <c r="K15" s="6">
        <f>IFERROR(('01_Input_Timecourse'!T15-'01_Input_Timecourse'!S15)/$E15/$F15,"")</f>
        <v/>
      </c>
      <c r="L15" s="6">
        <f>IFERROR(('01_Input_Timecourse'!U15-'01_Input_Timecourse'!V15)/$E15/$F15,"")</f>
        <v/>
      </c>
      <c r="M15" s="6">
        <f>IFERROR(('01_Input_Timecourse'!W15-'01_Input_Timecourse'!X15)/$E15/$F15,"")</f>
        <v/>
      </c>
      <c r="N15" s="6">
        <f>IFERROR(('01_Input_Timecourse'!Y15-'01_Input_Timecourse'!Z15)/$E15/$F15,"")</f>
        <v/>
      </c>
      <c r="O15" s="6">
        <f>IFERROR(('01_Input_Timecourse'!AA15-'01_Input_Timecourse'!AB15)/$E15/$F15,"")</f>
        <v/>
      </c>
      <c r="P15" s="6">
        <f>IFERROR(('01_Input_Timecourse'!AC15-'01_Input_Timecourse'!AD15)/$E15/$F15,"")</f>
        <v/>
      </c>
      <c r="Q15" s="6">
        <f>IFERROR(('01_Input_Timecourse'!AE15-'01_Input_Timecourse'!AF15)/$E15/$F15,"")</f>
        <v/>
      </c>
      <c r="R15" s="6">
        <f>IFERROR(('01_Input_Timecourse'!AH15-'01_Input_Timecourse'!AG15)/$E15/$F15,"")</f>
        <v/>
      </c>
      <c r="S15" s="6">
        <f>IFERROR(('01_Input_Timecourse'!AJ15-'01_Input_Timecourse'!AI15)/$E15/$F15,"")</f>
        <v/>
      </c>
      <c r="T15" s="6">
        <f>IFERROR(('01_Input_Timecourse'!AL15-'01_Input_Timecourse'!AK15)/$E15/$F15,"")</f>
        <v/>
      </c>
      <c r="U15" s="6">
        <f>IFERROR(('01_Input_Timecourse'!AN15-'01_Input_Timecourse'!AM15)/$E15/$F15,"")</f>
        <v/>
      </c>
      <c r="V15" s="2">
        <f>IF(A15="","",IF(OR(E15&lt;=0,F15&lt;=0),"Check time/VCD","OK"))</f>
        <v/>
      </c>
    </row>
    <row r="16">
      <c r="A16" s="2">
        <f>'01_Input_Timecourse'!A16</f>
        <v/>
      </c>
      <c r="B16" s="2">
        <f>'01_Input_Timecourse'!B16</f>
        <v/>
      </c>
      <c r="C16" s="2">
        <f>'01_Input_Timecourse'!C16</f>
        <v/>
      </c>
      <c r="D16" s="2">
        <f>'01_Input_Timecourse'!D16</f>
        <v/>
      </c>
      <c r="E16" s="6">
        <f>IFERROR(('01_Input_Timecourse'!F16-'01_Input_Timecourse'!E16)/24,"")</f>
        <v/>
      </c>
      <c r="F16" s="6">
        <f>IFERROR(AVERAGE('01_Input_Timecourse'!G16:H16),"")</f>
        <v/>
      </c>
      <c r="G16" s="6">
        <f>IFERROR(('01_Input_Timecourse'!K16-'01_Input_Timecourse'!L16)/$E16/$F16,"")</f>
        <v/>
      </c>
      <c r="H16" s="6">
        <f>IFERROR(('01_Input_Timecourse'!N16-'01_Input_Timecourse'!M16)/$E16/$F16,"")</f>
        <v/>
      </c>
      <c r="I16" s="6">
        <f>IFERROR(('01_Input_Timecourse'!O16-'01_Input_Timecourse'!P16)/$E16/$F16,"")</f>
        <v/>
      </c>
      <c r="J16" s="6">
        <f>IFERROR(('01_Input_Timecourse'!R16-'01_Input_Timecourse'!Q16)/$E16/$F16,"")</f>
        <v/>
      </c>
      <c r="K16" s="6">
        <f>IFERROR(('01_Input_Timecourse'!T16-'01_Input_Timecourse'!S16)/$E16/$F16,"")</f>
        <v/>
      </c>
      <c r="L16" s="6">
        <f>IFERROR(('01_Input_Timecourse'!U16-'01_Input_Timecourse'!V16)/$E16/$F16,"")</f>
        <v/>
      </c>
      <c r="M16" s="6">
        <f>IFERROR(('01_Input_Timecourse'!W16-'01_Input_Timecourse'!X16)/$E16/$F16,"")</f>
        <v/>
      </c>
      <c r="N16" s="6">
        <f>IFERROR(('01_Input_Timecourse'!Y16-'01_Input_Timecourse'!Z16)/$E16/$F16,"")</f>
        <v/>
      </c>
      <c r="O16" s="6">
        <f>IFERROR(('01_Input_Timecourse'!AA16-'01_Input_Timecourse'!AB16)/$E16/$F16,"")</f>
        <v/>
      </c>
      <c r="P16" s="6">
        <f>IFERROR(('01_Input_Timecourse'!AC16-'01_Input_Timecourse'!AD16)/$E16/$F16,"")</f>
        <v/>
      </c>
      <c r="Q16" s="6">
        <f>IFERROR(('01_Input_Timecourse'!AE16-'01_Input_Timecourse'!AF16)/$E16/$F16,"")</f>
        <v/>
      </c>
      <c r="R16" s="6">
        <f>IFERROR(('01_Input_Timecourse'!AH16-'01_Input_Timecourse'!AG16)/$E16/$F16,"")</f>
        <v/>
      </c>
      <c r="S16" s="6">
        <f>IFERROR(('01_Input_Timecourse'!AJ16-'01_Input_Timecourse'!AI16)/$E16/$F16,"")</f>
        <v/>
      </c>
      <c r="T16" s="6">
        <f>IFERROR(('01_Input_Timecourse'!AL16-'01_Input_Timecourse'!AK16)/$E16/$F16,"")</f>
        <v/>
      </c>
      <c r="U16" s="6">
        <f>IFERROR(('01_Input_Timecourse'!AN16-'01_Input_Timecourse'!AM16)/$E16/$F16,"")</f>
        <v/>
      </c>
      <c r="V16" s="2">
        <f>IF(A16="","",IF(OR(E16&lt;=0,F16&lt;=0),"Check time/VCD","OK"))</f>
        <v/>
      </c>
    </row>
    <row r="17">
      <c r="A17" s="2">
        <f>'01_Input_Timecourse'!A17</f>
        <v/>
      </c>
      <c r="B17" s="2">
        <f>'01_Input_Timecourse'!B17</f>
        <v/>
      </c>
      <c r="C17" s="2">
        <f>'01_Input_Timecourse'!C17</f>
        <v/>
      </c>
      <c r="D17" s="2">
        <f>'01_Input_Timecourse'!D17</f>
        <v/>
      </c>
      <c r="E17" s="6">
        <f>IFERROR(('01_Input_Timecourse'!F17-'01_Input_Timecourse'!E17)/24,"")</f>
        <v/>
      </c>
      <c r="F17" s="6">
        <f>IFERROR(AVERAGE('01_Input_Timecourse'!G17:H17),"")</f>
        <v/>
      </c>
      <c r="G17" s="6">
        <f>IFERROR(('01_Input_Timecourse'!K17-'01_Input_Timecourse'!L17)/$E17/$F17,"")</f>
        <v/>
      </c>
      <c r="H17" s="6">
        <f>IFERROR(('01_Input_Timecourse'!N17-'01_Input_Timecourse'!M17)/$E17/$F17,"")</f>
        <v/>
      </c>
      <c r="I17" s="6">
        <f>IFERROR(('01_Input_Timecourse'!O17-'01_Input_Timecourse'!P17)/$E17/$F17,"")</f>
        <v/>
      </c>
      <c r="J17" s="6">
        <f>IFERROR(('01_Input_Timecourse'!R17-'01_Input_Timecourse'!Q17)/$E17/$F17,"")</f>
        <v/>
      </c>
      <c r="K17" s="6">
        <f>IFERROR(('01_Input_Timecourse'!T17-'01_Input_Timecourse'!S17)/$E17/$F17,"")</f>
        <v/>
      </c>
      <c r="L17" s="6">
        <f>IFERROR(('01_Input_Timecourse'!U17-'01_Input_Timecourse'!V17)/$E17/$F17,"")</f>
        <v/>
      </c>
      <c r="M17" s="6">
        <f>IFERROR(('01_Input_Timecourse'!W17-'01_Input_Timecourse'!X17)/$E17/$F17,"")</f>
        <v/>
      </c>
      <c r="N17" s="6">
        <f>IFERROR(('01_Input_Timecourse'!Y17-'01_Input_Timecourse'!Z17)/$E17/$F17,"")</f>
        <v/>
      </c>
      <c r="O17" s="6">
        <f>IFERROR(('01_Input_Timecourse'!AA17-'01_Input_Timecourse'!AB17)/$E17/$F17,"")</f>
        <v/>
      </c>
      <c r="P17" s="6">
        <f>IFERROR(('01_Input_Timecourse'!AC17-'01_Input_Timecourse'!AD17)/$E17/$F17,"")</f>
        <v/>
      </c>
      <c r="Q17" s="6">
        <f>IFERROR(('01_Input_Timecourse'!AE17-'01_Input_Timecourse'!AF17)/$E17/$F17,"")</f>
        <v/>
      </c>
      <c r="R17" s="6">
        <f>IFERROR(('01_Input_Timecourse'!AH17-'01_Input_Timecourse'!AG17)/$E17/$F17,"")</f>
        <v/>
      </c>
      <c r="S17" s="6">
        <f>IFERROR(('01_Input_Timecourse'!AJ17-'01_Input_Timecourse'!AI17)/$E17/$F17,"")</f>
        <v/>
      </c>
      <c r="T17" s="6">
        <f>IFERROR(('01_Input_Timecourse'!AL17-'01_Input_Timecourse'!AK17)/$E17/$F17,"")</f>
        <v/>
      </c>
      <c r="U17" s="6">
        <f>IFERROR(('01_Input_Timecourse'!AN17-'01_Input_Timecourse'!AM17)/$E17/$F17,"")</f>
        <v/>
      </c>
      <c r="V17" s="2">
        <f>IF(A17="","",IF(OR(E17&lt;=0,F17&lt;=0),"Check time/VCD","OK"))</f>
        <v/>
      </c>
    </row>
    <row r="18">
      <c r="A18" s="2">
        <f>'01_Input_Timecourse'!A18</f>
        <v/>
      </c>
      <c r="B18" s="2">
        <f>'01_Input_Timecourse'!B18</f>
        <v/>
      </c>
      <c r="C18" s="2">
        <f>'01_Input_Timecourse'!C18</f>
        <v/>
      </c>
      <c r="D18" s="2">
        <f>'01_Input_Timecourse'!D18</f>
        <v/>
      </c>
      <c r="E18" s="6">
        <f>IFERROR(('01_Input_Timecourse'!F18-'01_Input_Timecourse'!E18)/24,"")</f>
        <v/>
      </c>
      <c r="F18" s="6">
        <f>IFERROR(AVERAGE('01_Input_Timecourse'!G18:H18),"")</f>
        <v/>
      </c>
      <c r="G18" s="6">
        <f>IFERROR(('01_Input_Timecourse'!K18-'01_Input_Timecourse'!L18)/$E18/$F18,"")</f>
        <v/>
      </c>
      <c r="H18" s="6">
        <f>IFERROR(('01_Input_Timecourse'!N18-'01_Input_Timecourse'!M18)/$E18/$F18,"")</f>
        <v/>
      </c>
      <c r="I18" s="6">
        <f>IFERROR(('01_Input_Timecourse'!O18-'01_Input_Timecourse'!P18)/$E18/$F18,"")</f>
        <v/>
      </c>
      <c r="J18" s="6">
        <f>IFERROR(('01_Input_Timecourse'!R18-'01_Input_Timecourse'!Q18)/$E18/$F18,"")</f>
        <v/>
      </c>
      <c r="K18" s="6">
        <f>IFERROR(('01_Input_Timecourse'!T18-'01_Input_Timecourse'!S18)/$E18/$F18,"")</f>
        <v/>
      </c>
      <c r="L18" s="6">
        <f>IFERROR(('01_Input_Timecourse'!U18-'01_Input_Timecourse'!V18)/$E18/$F18,"")</f>
        <v/>
      </c>
      <c r="M18" s="6">
        <f>IFERROR(('01_Input_Timecourse'!W18-'01_Input_Timecourse'!X18)/$E18/$F18,"")</f>
        <v/>
      </c>
      <c r="N18" s="6">
        <f>IFERROR(('01_Input_Timecourse'!Y18-'01_Input_Timecourse'!Z18)/$E18/$F18,"")</f>
        <v/>
      </c>
      <c r="O18" s="6">
        <f>IFERROR(('01_Input_Timecourse'!AA18-'01_Input_Timecourse'!AB18)/$E18/$F18,"")</f>
        <v/>
      </c>
      <c r="P18" s="6">
        <f>IFERROR(('01_Input_Timecourse'!AC18-'01_Input_Timecourse'!AD18)/$E18/$F18,"")</f>
        <v/>
      </c>
      <c r="Q18" s="6">
        <f>IFERROR(('01_Input_Timecourse'!AE18-'01_Input_Timecourse'!AF18)/$E18/$F18,"")</f>
        <v/>
      </c>
      <c r="R18" s="6">
        <f>IFERROR(('01_Input_Timecourse'!AH18-'01_Input_Timecourse'!AG18)/$E18/$F18,"")</f>
        <v/>
      </c>
      <c r="S18" s="6">
        <f>IFERROR(('01_Input_Timecourse'!AJ18-'01_Input_Timecourse'!AI18)/$E18/$F18,"")</f>
        <v/>
      </c>
      <c r="T18" s="6">
        <f>IFERROR(('01_Input_Timecourse'!AL18-'01_Input_Timecourse'!AK18)/$E18/$F18,"")</f>
        <v/>
      </c>
      <c r="U18" s="6">
        <f>IFERROR(('01_Input_Timecourse'!AN18-'01_Input_Timecourse'!AM18)/$E18/$F18,"")</f>
        <v/>
      </c>
      <c r="V18" s="2">
        <f>IF(A18="","",IF(OR(E18&lt;=0,F18&lt;=0),"Check time/VCD","OK"))</f>
        <v/>
      </c>
    </row>
    <row r="19">
      <c r="A19" s="2">
        <f>'01_Input_Timecourse'!A19</f>
        <v/>
      </c>
      <c r="B19" s="2">
        <f>'01_Input_Timecourse'!B19</f>
        <v/>
      </c>
      <c r="C19" s="2">
        <f>'01_Input_Timecourse'!C19</f>
        <v/>
      </c>
      <c r="D19" s="2">
        <f>'01_Input_Timecourse'!D19</f>
        <v/>
      </c>
      <c r="E19" s="6">
        <f>IFERROR(('01_Input_Timecourse'!F19-'01_Input_Timecourse'!E19)/24,"")</f>
        <v/>
      </c>
      <c r="F19" s="6">
        <f>IFERROR(AVERAGE('01_Input_Timecourse'!G19:H19),"")</f>
        <v/>
      </c>
      <c r="G19" s="6">
        <f>IFERROR(('01_Input_Timecourse'!K19-'01_Input_Timecourse'!L19)/$E19/$F19,"")</f>
        <v/>
      </c>
      <c r="H19" s="6">
        <f>IFERROR(('01_Input_Timecourse'!N19-'01_Input_Timecourse'!M19)/$E19/$F19,"")</f>
        <v/>
      </c>
      <c r="I19" s="6">
        <f>IFERROR(('01_Input_Timecourse'!O19-'01_Input_Timecourse'!P19)/$E19/$F19,"")</f>
        <v/>
      </c>
      <c r="J19" s="6">
        <f>IFERROR(('01_Input_Timecourse'!R19-'01_Input_Timecourse'!Q19)/$E19/$F19,"")</f>
        <v/>
      </c>
      <c r="K19" s="6">
        <f>IFERROR(('01_Input_Timecourse'!T19-'01_Input_Timecourse'!S19)/$E19/$F19,"")</f>
        <v/>
      </c>
      <c r="L19" s="6">
        <f>IFERROR(('01_Input_Timecourse'!U19-'01_Input_Timecourse'!V19)/$E19/$F19,"")</f>
        <v/>
      </c>
      <c r="M19" s="6">
        <f>IFERROR(('01_Input_Timecourse'!W19-'01_Input_Timecourse'!X19)/$E19/$F19,"")</f>
        <v/>
      </c>
      <c r="N19" s="6">
        <f>IFERROR(('01_Input_Timecourse'!Y19-'01_Input_Timecourse'!Z19)/$E19/$F19,"")</f>
        <v/>
      </c>
      <c r="O19" s="6">
        <f>IFERROR(('01_Input_Timecourse'!AA19-'01_Input_Timecourse'!AB19)/$E19/$F19,"")</f>
        <v/>
      </c>
      <c r="P19" s="6">
        <f>IFERROR(('01_Input_Timecourse'!AC19-'01_Input_Timecourse'!AD19)/$E19/$F19,"")</f>
        <v/>
      </c>
      <c r="Q19" s="6">
        <f>IFERROR(('01_Input_Timecourse'!AE19-'01_Input_Timecourse'!AF19)/$E19/$F19,"")</f>
        <v/>
      </c>
      <c r="R19" s="6">
        <f>IFERROR(('01_Input_Timecourse'!AH19-'01_Input_Timecourse'!AG19)/$E19/$F19,"")</f>
        <v/>
      </c>
      <c r="S19" s="6">
        <f>IFERROR(('01_Input_Timecourse'!AJ19-'01_Input_Timecourse'!AI19)/$E19/$F19,"")</f>
        <v/>
      </c>
      <c r="T19" s="6">
        <f>IFERROR(('01_Input_Timecourse'!AL19-'01_Input_Timecourse'!AK19)/$E19/$F19,"")</f>
        <v/>
      </c>
      <c r="U19" s="6">
        <f>IFERROR(('01_Input_Timecourse'!AN19-'01_Input_Timecourse'!AM19)/$E19/$F19,"")</f>
        <v/>
      </c>
      <c r="V19" s="2">
        <f>IF(A19="","",IF(OR(E19&lt;=0,F19&lt;=0),"Check time/VCD","OK"))</f>
        <v/>
      </c>
    </row>
    <row r="20">
      <c r="A20" s="2">
        <f>'01_Input_Timecourse'!A20</f>
        <v/>
      </c>
      <c r="B20" s="2">
        <f>'01_Input_Timecourse'!B20</f>
        <v/>
      </c>
      <c r="C20" s="2">
        <f>'01_Input_Timecourse'!C20</f>
        <v/>
      </c>
      <c r="D20" s="2">
        <f>'01_Input_Timecourse'!D20</f>
        <v/>
      </c>
      <c r="E20" s="6">
        <f>IFERROR(('01_Input_Timecourse'!F20-'01_Input_Timecourse'!E20)/24,"")</f>
        <v/>
      </c>
      <c r="F20" s="6">
        <f>IFERROR(AVERAGE('01_Input_Timecourse'!G20:H20),"")</f>
        <v/>
      </c>
      <c r="G20" s="6">
        <f>IFERROR(('01_Input_Timecourse'!K20-'01_Input_Timecourse'!L20)/$E20/$F20,"")</f>
        <v/>
      </c>
      <c r="H20" s="6">
        <f>IFERROR(('01_Input_Timecourse'!N20-'01_Input_Timecourse'!M20)/$E20/$F20,"")</f>
        <v/>
      </c>
      <c r="I20" s="6">
        <f>IFERROR(('01_Input_Timecourse'!O20-'01_Input_Timecourse'!P20)/$E20/$F20,"")</f>
        <v/>
      </c>
      <c r="J20" s="6">
        <f>IFERROR(('01_Input_Timecourse'!R20-'01_Input_Timecourse'!Q20)/$E20/$F20,"")</f>
        <v/>
      </c>
      <c r="K20" s="6">
        <f>IFERROR(('01_Input_Timecourse'!T20-'01_Input_Timecourse'!S20)/$E20/$F20,"")</f>
        <v/>
      </c>
      <c r="L20" s="6">
        <f>IFERROR(('01_Input_Timecourse'!U20-'01_Input_Timecourse'!V20)/$E20/$F20,"")</f>
        <v/>
      </c>
      <c r="M20" s="6">
        <f>IFERROR(('01_Input_Timecourse'!W20-'01_Input_Timecourse'!X20)/$E20/$F20,"")</f>
        <v/>
      </c>
      <c r="N20" s="6">
        <f>IFERROR(('01_Input_Timecourse'!Y20-'01_Input_Timecourse'!Z20)/$E20/$F20,"")</f>
        <v/>
      </c>
      <c r="O20" s="6">
        <f>IFERROR(('01_Input_Timecourse'!AA20-'01_Input_Timecourse'!AB20)/$E20/$F20,"")</f>
        <v/>
      </c>
      <c r="P20" s="6">
        <f>IFERROR(('01_Input_Timecourse'!AC20-'01_Input_Timecourse'!AD20)/$E20/$F20,"")</f>
        <v/>
      </c>
      <c r="Q20" s="6">
        <f>IFERROR(('01_Input_Timecourse'!AE20-'01_Input_Timecourse'!AF20)/$E20/$F20,"")</f>
        <v/>
      </c>
      <c r="R20" s="6">
        <f>IFERROR(('01_Input_Timecourse'!AH20-'01_Input_Timecourse'!AG20)/$E20/$F20,"")</f>
        <v/>
      </c>
      <c r="S20" s="6">
        <f>IFERROR(('01_Input_Timecourse'!AJ20-'01_Input_Timecourse'!AI20)/$E20/$F20,"")</f>
        <v/>
      </c>
      <c r="T20" s="6">
        <f>IFERROR(('01_Input_Timecourse'!AL20-'01_Input_Timecourse'!AK20)/$E20/$F20,"")</f>
        <v/>
      </c>
      <c r="U20" s="6">
        <f>IFERROR(('01_Input_Timecourse'!AN20-'01_Input_Timecourse'!AM20)/$E20/$F20,"")</f>
        <v/>
      </c>
      <c r="V20" s="2">
        <f>IF(A20="","",IF(OR(E20&lt;=0,F20&lt;=0),"Check time/VCD","OK"))</f>
        <v/>
      </c>
    </row>
    <row r="21">
      <c r="A21" s="2">
        <f>'01_Input_Timecourse'!A21</f>
        <v/>
      </c>
      <c r="B21" s="2">
        <f>'01_Input_Timecourse'!B21</f>
        <v/>
      </c>
      <c r="C21" s="2">
        <f>'01_Input_Timecourse'!C21</f>
        <v/>
      </c>
      <c r="D21" s="2">
        <f>'01_Input_Timecourse'!D21</f>
        <v/>
      </c>
      <c r="E21" s="6">
        <f>IFERROR(('01_Input_Timecourse'!F21-'01_Input_Timecourse'!E21)/24,"")</f>
        <v/>
      </c>
      <c r="F21" s="6">
        <f>IFERROR(AVERAGE('01_Input_Timecourse'!G21:H21),"")</f>
        <v/>
      </c>
      <c r="G21" s="6">
        <f>IFERROR(('01_Input_Timecourse'!K21-'01_Input_Timecourse'!L21)/$E21/$F21,"")</f>
        <v/>
      </c>
      <c r="H21" s="6">
        <f>IFERROR(('01_Input_Timecourse'!N21-'01_Input_Timecourse'!M21)/$E21/$F21,"")</f>
        <v/>
      </c>
      <c r="I21" s="6">
        <f>IFERROR(('01_Input_Timecourse'!O21-'01_Input_Timecourse'!P21)/$E21/$F21,"")</f>
        <v/>
      </c>
      <c r="J21" s="6">
        <f>IFERROR(('01_Input_Timecourse'!R21-'01_Input_Timecourse'!Q21)/$E21/$F21,"")</f>
        <v/>
      </c>
      <c r="K21" s="6">
        <f>IFERROR(('01_Input_Timecourse'!T21-'01_Input_Timecourse'!S21)/$E21/$F21,"")</f>
        <v/>
      </c>
      <c r="L21" s="6">
        <f>IFERROR(('01_Input_Timecourse'!U21-'01_Input_Timecourse'!V21)/$E21/$F21,"")</f>
        <v/>
      </c>
      <c r="M21" s="6">
        <f>IFERROR(('01_Input_Timecourse'!W21-'01_Input_Timecourse'!X21)/$E21/$F21,"")</f>
        <v/>
      </c>
      <c r="N21" s="6">
        <f>IFERROR(('01_Input_Timecourse'!Y21-'01_Input_Timecourse'!Z21)/$E21/$F21,"")</f>
        <v/>
      </c>
      <c r="O21" s="6">
        <f>IFERROR(('01_Input_Timecourse'!AA21-'01_Input_Timecourse'!AB21)/$E21/$F21,"")</f>
        <v/>
      </c>
      <c r="P21" s="6">
        <f>IFERROR(('01_Input_Timecourse'!AC21-'01_Input_Timecourse'!AD21)/$E21/$F21,"")</f>
        <v/>
      </c>
      <c r="Q21" s="6">
        <f>IFERROR(('01_Input_Timecourse'!AE21-'01_Input_Timecourse'!AF21)/$E21/$F21,"")</f>
        <v/>
      </c>
      <c r="R21" s="6">
        <f>IFERROR(('01_Input_Timecourse'!AH21-'01_Input_Timecourse'!AG21)/$E21/$F21,"")</f>
        <v/>
      </c>
      <c r="S21" s="6">
        <f>IFERROR(('01_Input_Timecourse'!AJ21-'01_Input_Timecourse'!AI21)/$E21/$F21,"")</f>
        <v/>
      </c>
      <c r="T21" s="6">
        <f>IFERROR(('01_Input_Timecourse'!AL21-'01_Input_Timecourse'!AK21)/$E21/$F21,"")</f>
        <v/>
      </c>
      <c r="U21" s="6">
        <f>IFERROR(('01_Input_Timecourse'!AN21-'01_Input_Timecourse'!AM21)/$E21/$F21,"")</f>
        <v/>
      </c>
      <c r="V21" s="2">
        <f>IF(A21="","",IF(OR(E21&lt;=0,F21&lt;=0),"Check time/VCD","OK"))</f>
        <v/>
      </c>
    </row>
    <row r="22">
      <c r="A22" s="2">
        <f>'01_Input_Timecourse'!A22</f>
        <v/>
      </c>
      <c r="B22" s="2">
        <f>'01_Input_Timecourse'!B22</f>
        <v/>
      </c>
      <c r="C22" s="2">
        <f>'01_Input_Timecourse'!C22</f>
        <v/>
      </c>
      <c r="D22" s="2">
        <f>'01_Input_Timecourse'!D22</f>
        <v/>
      </c>
      <c r="E22" s="6">
        <f>IFERROR(('01_Input_Timecourse'!F22-'01_Input_Timecourse'!E22)/24,"")</f>
        <v/>
      </c>
      <c r="F22" s="6">
        <f>IFERROR(AVERAGE('01_Input_Timecourse'!G22:H22),"")</f>
        <v/>
      </c>
      <c r="G22" s="6">
        <f>IFERROR(('01_Input_Timecourse'!K22-'01_Input_Timecourse'!L22)/$E22/$F22,"")</f>
        <v/>
      </c>
      <c r="H22" s="6">
        <f>IFERROR(('01_Input_Timecourse'!N22-'01_Input_Timecourse'!M22)/$E22/$F22,"")</f>
        <v/>
      </c>
      <c r="I22" s="6">
        <f>IFERROR(('01_Input_Timecourse'!O22-'01_Input_Timecourse'!P22)/$E22/$F22,"")</f>
        <v/>
      </c>
      <c r="J22" s="6">
        <f>IFERROR(('01_Input_Timecourse'!R22-'01_Input_Timecourse'!Q22)/$E22/$F22,"")</f>
        <v/>
      </c>
      <c r="K22" s="6">
        <f>IFERROR(('01_Input_Timecourse'!T22-'01_Input_Timecourse'!S22)/$E22/$F22,"")</f>
        <v/>
      </c>
      <c r="L22" s="6">
        <f>IFERROR(('01_Input_Timecourse'!U22-'01_Input_Timecourse'!V22)/$E22/$F22,"")</f>
        <v/>
      </c>
      <c r="M22" s="6">
        <f>IFERROR(('01_Input_Timecourse'!W22-'01_Input_Timecourse'!X22)/$E22/$F22,"")</f>
        <v/>
      </c>
      <c r="N22" s="6">
        <f>IFERROR(('01_Input_Timecourse'!Y22-'01_Input_Timecourse'!Z22)/$E22/$F22,"")</f>
        <v/>
      </c>
      <c r="O22" s="6">
        <f>IFERROR(('01_Input_Timecourse'!AA22-'01_Input_Timecourse'!AB22)/$E22/$F22,"")</f>
        <v/>
      </c>
      <c r="P22" s="6">
        <f>IFERROR(('01_Input_Timecourse'!AC22-'01_Input_Timecourse'!AD22)/$E22/$F22,"")</f>
        <v/>
      </c>
      <c r="Q22" s="6">
        <f>IFERROR(('01_Input_Timecourse'!AE22-'01_Input_Timecourse'!AF22)/$E22/$F22,"")</f>
        <v/>
      </c>
      <c r="R22" s="6">
        <f>IFERROR(('01_Input_Timecourse'!AH22-'01_Input_Timecourse'!AG22)/$E22/$F22,"")</f>
        <v/>
      </c>
      <c r="S22" s="6">
        <f>IFERROR(('01_Input_Timecourse'!AJ22-'01_Input_Timecourse'!AI22)/$E22/$F22,"")</f>
        <v/>
      </c>
      <c r="T22" s="6">
        <f>IFERROR(('01_Input_Timecourse'!AL22-'01_Input_Timecourse'!AK22)/$E22/$F22,"")</f>
        <v/>
      </c>
      <c r="U22" s="6">
        <f>IFERROR(('01_Input_Timecourse'!AN22-'01_Input_Timecourse'!AM22)/$E22/$F22,"")</f>
        <v/>
      </c>
      <c r="V22" s="2">
        <f>IF(A22="","",IF(OR(E22&lt;=0,F22&lt;=0),"Check time/VCD","OK"))</f>
        <v/>
      </c>
    </row>
    <row r="23">
      <c r="A23" s="2">
        <f>'01_Input_Timecourse'!A23</f>
        <v/>
      </c>
      <c r="B23" s="2">
        <f>'01_Input_Timecourse'!B23</f>
        <v/>
      </c>
      <c r="C23" s="2">
        <f>'01_Input_Timecourse'!C23</f>
        <v/>
      </c>
      <c r="D23" s="2">
        <f>'01_Input_Timecourse'!D23</f>
        <v/>
      </c>
      <c r="E23" s="6">
        <f>IFERROR(('01_Input_Timecourse'!F23-'01_Input_Timecourse'!E23)/24,"")</f>
        <v/>
      </c>
      <c r="F23" s="6">
        <f>IFERROR(AVERAGE('01_Input_Timecourse'!G23:H23),"")</f>
        <v/>
      </c>
      <c r="G23" s="6">
        <f>IFERROR(('01_Input_Timecourse'!K23-'01_Input_Timecourse'!L23)/$E23/$F23,"")</f>
        <v/>
      </c>
      <c r="H23" s="6">
        <f>IFERROR(('01_Input_Timecourse'!N23-'01_Input_Timecourse'!M23)/$E23/$F23,"")</f>
        <v/>
      </c>
      <c r="I23" s="6">
        <f>IFERROR(('01_Input_Timecourse'!O23-'01_Input_Timecourse'!P23)/$E23/$F23,"")</f>
        <v/>
      </c>
      <c r="J23" s="6">
        <f>IFERROR(('01_Input_Timecourse'!R23-'01_Input_Timecourse'!Q23)/$E23/$F23,"")</f>
        <v/>
      </c>
      <c r="K23" s="6">
        <f>IFERROR(('01_Input_Timecourse'!T23-'01_Input_Timecourse'!S23)/$E23/$F23,"")</f>
        <v/>
      </c>
      <c r="L23" s="6">
        <f>IFERROR(('01_Input_Timecourse'!U23-'01_Input_Timecourse'!V23)/$E23/$F23,"")</f>
        <v/>
      </c>
      <c r="M23" s="6">
        <f>IFERROR(('01_Input_Timecourse'!W23-'01_Input_Timecourse'!X23)/$E23/$F23,"")</f>
        <v/>
      </c>
      <c r="N23" s="6">
        <f>IFERROR(('01_Input_Timecourse'!Y23-'01_Input_Timecourse'!Z23)/$E23/$F23,"")</f>
        <v/>
      </c>
      <c r="O23" s="6">
        <f>IFERROR(('01_Input_Timecourse'!AA23-'01_Input_Timecourse'!AB23)/$E23/$F23,"")</f>
        <v/>
      </c>
      <c r="P23" s="6">
        <f>IFERROR(('01_Input_Timecourse'!AC23-'01_Input_Timecourse'!AD23)/$E23/$F23,"")</f>
        <v/>
      </c>
      <c r="Q23" s="6">
        <f>IFERROR(('01_Input_Timecourse'!AE23-'01_Input_Timecourse'!AF23)/$E23/$F23,"")</f>
        <v/>
      </c>
      <c r="R23" s="6">
        <f>IFERROR(('01_Input_Timecourse'!AH23-'01_Input_Timecourse'!AG23)/$E23/$F23,"")</f>
        <v/>
      </c>
      <c r="S23" s="6">
        <f>IFERROR(('01_Input_Timecourse'!AJ23-'01_Input_Timecourse'!AI23)/$E23/$F23,"")</f>
        <v/>
      </c>
      <c r="T23" s="6">
        <f>IFERROR(('01_Input_Timecourse'!AL23-'01_Input_Timecourse'!AK23)/$E23/$F23,"")</f>
        <v/>
      </c>
      <c r="U23" s="6">
        <f>IFERROR(('01_Input_Timecourse'!AN23-'01_Input_Timecourse'!AM23)/$E23/$F23,"")</f>
        <v/>
      </c>
      <c r="V23" s="2">
        <f>IF(A23="","",IF(OR(E23&lt;=0,F23&lt;=0),"Check time/VCD","OK"))</f>
        <v/>
      </c>
    </row>
    <row r="24">
      <c r="A24" s="2">
        <f>'01_Input_Timecourse'!A24</f>
        <v/>
      </c>
      <c r="B24" s="2">
        <f>'01_Input_Timecourse'!B24</f>
        <v/>
      </c>
      <c r="C24" s="2">
        <f>'01_Input_Timecourse'!C24</f>
        <v/>
      </c>
      <c r="D24" s="2">
        <f>'01_Input_Timecourse'!D24</f>
        <v/>
      </c>
      <c r="E24" s="6">
        <f>IFERROR(('01_Input_Timecourse'!F24-'01_Input_Timecourse'!E24)/24,"")</f>
        <v/>
      </c>
      <c r="F24" s="6">
        <f>IFERROR(AVERAGE('01_Input_Timecourse'!G24:H24),"")</f>
        <v/>
      </c>
      <c r="G24" s="6">
        <f>IFERROR(('01_Input_Timecourse'!K24-'01_Input_Timecourse'!L24)/$E24/$F24,"")</f>
        <v/>
      </c>
      <c r="H24" s="6">
        <f>IFERROR(('01_Input_Timecourse'!N24-'01_Input_Timecourse'!M24)/$E24/$F24,"")</f>
        <v/>
      </c>
      <c r="I24" s="6">
        <f>IFERROR(('01_Input_Timecourse'!O24-'01_Input_Timecourse'!P24)/$E24/$F24,"")</f>
        <v/>
      </c>
      <c r="J24" s="6">
        <f>IFERROR(('01_Input_Timecourse'!R24-'01_Input_Timecourse'!Q24)/$E24/$F24,"")</f>
        <v/>
      </c>
      <c r="K24" s="6">
        <f>IFERROR(('01_Input_Timecourse'!T24-'01_Input_Timecourse'!S24)/$E24/$F24,"")</f>
        <v/>
      </c>
      <c r="L24" s="6">
        <f>IFERROR(('01_Input_Timecourse'!U24-'01_Input_Timecourse'!V24)/$E24/$F24,"")</f>
        <v/>
      </c>
      <c r="M24" s="6">
        <f>IFERROR(('01_Input_Timecourse'!W24-'01_Input_Timecourse'!X24)/$E24/$F24,"")</f>
        <v/>
      </c>
      <c r="N24" s="6">
        <f>IFERROR(('01_Input_Timecourse'!Y24-'01_Input_Timecourse'!Z24)/$E24/$F24,"")</f>
        <v/>
      </c>
      <c r="O24" s="6">
        <f>IFERROR(('01_Input_Timecourse'!AA24-'01_Input_Timecourse'!AB24)/$E24/$F24,"")</f>
        <v/>
      </c>
      <c r="P24" s="6">
        <f>IFERROR(('01_Input_Timecourse'!AC24-'01_Input_Timecourse'!AD24)/$E24/$F24,"")</f>
        <v/>
      </c>
      <c r="Q24" s="6">
        <f>IFERROR(('01_Input_Timecourse'!AE24-'01_Input_Timecourse'!AF24)/$E24/$F24,"")</f>
        <v/>
      </c>
      <c r="R24" s="6">
        <f>IFERROR(('01_Input_Timecourse'!AH24-'01_Input_Timecourse'!AG24)/$E24/$F24,"")</f>
        <v/>
      </c>
      <c r="S24" s="6">
        <f>IFERROR(('01_Input_Timecourse'!AJ24-'01_Input_Timecourse'!AI24)/$E24/$F24,"")</f>
        <v/>
      </c>
      <c r="T24" s="6">
        <f>IFERROR(('01_Input_Timecourse'!AL24-'01_Input_Timecourse'!AK24)/$E24/$F24,"")</f>
        <v/>
      </c>
      <c r="U24" s="6">
        <f>IFERROR(('01_Input_Timecourse'!AN24-'01_Input_Timecourse'!AM24)/$E24/$F24,"")</f>
        <v/>
      </c>
      <c r="V24" s="2">
        <f>IF(A24="","",IF(OR(E24&lt;=0,F24&lt;=0),"Check time/VCD","OK"))</f>
        <v/>
      </c>
    </row>
    <row r="25">
      <c r="A25" s="2">
        <f>'01_Input_Timecourse'!A25</f>
        <v/>
      </c>
      <c r="B25" s="2">
        <f>'01_Input_Timecourse'!B25</f>
        <v/>
      </c>
      <c r="C25" s="2">
        <f>'01_Input_Timecourse'!C25</f>
        <v/>
      </c>
      <c r="D25" s="2">
        <f>'01_Input_Timecourse'!D25</f>
        <v/>
      </c>
      <c r="E25" s="6">
        <f>IFERROR(('01_Input_Timecourse'!F25-'01_Input_Timecourse'!E25)/24,"")</f>
        <v/>
      </c>
      <c r="F25" s="6">
        <f>IFERROR(AVERAGE('01_Input_Timecourse'!G25:H25),"")</f>
        <v/>
      </c>
      <c r="G25" s="6">
        <f>IFERROR(('01_Input_Timecourse'!K25-'01_Input_Timecourse'!L25)/$E25/$F25,"")</f>
        <v/>
      </c>
      <c r="H25" s="6">
        <f>IFERROR(('01_Input_Timecourse'!N25-'01_Input_Timecourse'!M25)/$E25/$F25,"")</f>
        <v/>
      </c>
      <c r="I25" s="6">
        <f>IFERROR(('01_Input_Timecourse'!O25-'01_Input_Timecourse'!P25)/$E25/$F25,"")</f>
        <v/>
      </c>
      <c r="J25" s="6">
        <f>IFERROR(('01_Input_Timecourse'!R25-'01_Input_Timecourse'!Q25)/$E25/$F25,"")</f>
        <v/>
      </c>
      <c r="K25" s="6">
        <f>IFERROR(('01_Input_Timecourse'!T25-'01_Input_Timecourse'!S25)/$E25/$F25,"")</f>
        <v/>
      </c>
      <c r="L25" s="6">
        <f>IFERROR(('01_Input_Timecourse'!U25-'01_Input_Timecourse'!V25)/$E25/$F25,"")</f>
        <v/>
      </c>
      <c r="M25" s="6">
        <f>IFERROR(('01_Input_Timecourse'!W25-'01_Input_Timecourse'!X25)/$E25/$F25,"")</f>
        <v/>
      </c>
      <c r="N25" s="6">
        <f>IFERROR(('01_Input_Timecourse'!Y25-'01_Input_Timecourse'!Z25)/$E25/$F25,"")</f>
        <v/>
      </c>
      <c r="O25" s="6">
        <f>IFERROR(('01_Input_Timecourse'!AA25-'01_Input_Timecourse'!AB25)/$E25/$F25,"")</f>
        <v/>
      </c>
      <c r="P25" s="6">
        <f>IFERROR(('01_Input_Timecourse'!AC25-'01_Input_Timecourse'!AD25)/$E25/$F25,"")</f>
        <v/>
      </c>
      <c r="Q25" s="6">
        <f>IFERROR(('01_Input_Timecourse'!AE25-'01_Input_Timecourse'!AF25)/$E25/$F25,"")</f>
        <v/>
      </c>
      <c r="R25" s="6">
        <f>IFERROR(('01_Input_Timecourse'!AH25-'01_Input_Timecourse'!AG25)/$E25/$F25,"")</f>
        <v/>
      </c>
      <c r="S25" s="6">
        <f>IFERROR(('01_Input_Timecourse'!AJ25-'01_Input_Timecourse'!AI25)/$E25/$F25,"")</f>
        <v/>
      </c>
      <c r="T25" s="6">
        <f>IFERROR(('01_Input_Timecourse'!AL25-'01_Input_Timecourse'!AK25)/$E25/$F25,"")</f>
        <v/>
      </c>
      <c r="U25" s="6">
        <f>IFERROR(('01_Input_Timecourse'!AN25-'01_Input_Timecourse'!AM25)/$E25/$F25,"")</f>
        <v/>
      </c>
      <c r="V25" s="2">
        <f>IF(A25="","",IF(OR(E25&lt;=0,F25&lt;=0),"Check time/VCD","OK"))</f>
        <v/>
      </c>
    </row>
    <row r="26">
      <c r="A26" s="2">
        <f>'01_Input_Timecourse'!A26</f>
        <v/>
      </c>
      <c r="B26" s="2">
        <f>'01_Input_Timecourse'!B26</f>
        <v/>
      </c>
      <c r="C26" s="2">
        <f>'01_Input_Timecourse'!C26</f>
        <v/>
      </c>
      <c r="D26" s="2">
        <f>'01_Input_Timecourse'!D26</f>
        <v/>
      </c>
      <c r="E26" s="6">
        <f>IFERROR(('01_Input_Timecourse'!F26-'01_Input_Timecourse'!E26)/24,"")</f>
        <v/>
      </c>
      <c r="F26" s="6">
        <f>IFERROR(AVERAGE('01_Input_Timecourse'!G26:H26),"")</f>
        <v/>
      </c>
      <c r="G26" s="6">
        <f>IFERROR(('01_Input_Timecourse'!K26-'01_Input_Timecourse'!L26)/$E26/$F26,"")</f>
        <v/>
      </c>
      <c r="H26" s="6">
        <f>IFERROR(('01_Input_Timecourse'!N26-'01_Input_Timecourse'!M26)/$E26/$F26,"")</f>
        <v/>
      </c>
      <c r="I26" s="6">
        <f>IFERROR(('01_Input_Timecourse'!O26-'01_Input_Timecourse'!P26)/$E26/$F26,"")</f>
        <v/>
      </c>
      <c r="J26" s="6">
        <f>IFERROR(('01_Input_Timecourse'!R26-'01_Input_Timecourse'!Q26)/$E26/$F26,"")</f>
        <v/>
      </c>
      <c r="K26" s="6">
        <f>IFERROR(('01_Input_Timecourse'!T26-'01_Input_Timecourse'!S26)/$E26/$F26,"")</f>
        <v/>
      </c>
      <c r="L26" s="6">
        <f>IFERROR(('01_Input_Timecourse'!U26-'01_Input_Timecourse'!V26)/$E26/$F26,"")</f>
        <v/>
      </c>
      <c r="M26" s="6">
        <f>IFERROR(('01_Input_Timecourse'!W26-'01_Input_Timecourse'!X26)/$E26/$F26,"")</f>
        <v/>
      </c>
      <c r="N26" s="6">
        <f>IFERROR(('01_Input_Timecourse'!Y26-'01_Input_Timecourse'!Z26)/$E26/$F26,"")</f>
        <v/>
      </c>
      <c r="O26" s="6">
        <f>IFERROR(('01_Input_Timecourse'!AA26-'01_Input_Timecourse'!AB26)/$E26/$F26,"")</f>
        <v/>
      </c>
      <c r="P26" s="6">
        <f>IFERROR(('01_Input_Timecourse'!AC26-'01_Input_Timecourse'!AD26)/$E26/$F26,"")</f>
        <v/>
      </c>
      <c r="Q26" s="6">
        <f>IFERROR(('01_Input_Timecourse'!AE26-'01_Input_Timecourse'!AF26)/$E26/$F26,"")</f>
        <v/>
      </c>
      <c r="R26" s="6">
        <f>IFERROR(('01_Input_Timecourse'!AH26-'01_Input_Timecourse'!AG26)/$E26/$F26,"")</f>
        <v/>
      </c>
      <c r="S26" s="6">
        <f>IFERROR(('01_Input_Timecourse'!AJ26-'01_Input_Timecourse'!AI26)/$E26/$F26,"")</f>
        <v/>
      </c>
      <c r="T26" s="6">
        <f>IFERROR(('01_Input_Timecourse'!AL26-'01_Input_Timecourse'!AK26)/$E26/$F26,"")</f>
        <v/>
      </c>
      <c r="U26" s="6">
        <f>IFERROR(('01_Input_Timecourse'!AN26-'01_Input_Timecourse'!AM26)/$E26/$F26,"")</f>
        <v/>
      </c>
      <c r="V26" s="2">
        <f>IF(A26="","",IF(OR(E26&lt;=0,F26&lt;=0),"Check time/VCD","OK"))</f>
        <v/>
      </c>
    </row>
    <row r="27">
      <c r="A27" s="2">
        <f>'01_Input_Timecourse'!A27</f>
        <v/>
      </c>
      <c r="B27" s="2">
        <f>'01_Input_Timecourse'!B27</f>
        <v/>
      </c>
      <c r="C27" s="2">
        <f>'01_Input_Timecourse'!C27</f>
        <v/>
      </c>
      <c r="D27" s="2">
        <f>'01_Input_Timecourse'!D27</f>
        <v/>
      </c>
      <c r="E27" s="6">
        <f>IFERROR(('01_Input_Timecourse'!F27-'01_Input_Timecourse'!E27)/24,"")</f>
        <v/>
      </c>
      <c r="F27" s="6">
        <f>IFERROR(AVERAGE('01_Input_Timecourse'!G27:H27),"")</f>
        <v/>
      </c>
      <c r="G27" s="6">
        <f>IFERROR(('01_Input_Timecourse'!K27-'01_Input_Timecourse'!L27)/$E27/$F27,"")</f>
        <v/>
      </c>
      <c r="H27" s="6">
        <f>IFERROR(('01_Input_Timecourse'!N27-'01_Input_Timecourse'!M27)/$E27/$F27,"")</f>
        <v/>
      </c>
      <c r="I27" s="6">
        <f>IFERROR(('01_Input_Timecourse'!O27-'01_Input_Timecourse'!P27)/$E27/$F27,"")</f>
        <v/>
      </c>
      <c r="J27" s="6">
        <f>IFERROR(('01_Input_Timecourse'!R27-'01_Input_Timecourse'!Q27)/$E27/$F27,"")</f>
        <v/>
      </c>
      <c r="K27" s="6">
        <f>IFERROR(('01_Input_Timecourse'!T27-'01_Input_Timecourse'!S27)/$E27/$F27,"")</f>
        <v/>
      </c>
      <c r="L27" s="6">
        <f>IFERROR(('01_Input_Timecourse'!U27-'01_Input_Timecourse'!V27)/$E27/$F27,"")</f>
        <v/>
      </c>
      <c r="M27" s="6">
        <f>IFERROR(('01_Input_Timecourse'!W27-'01_Input_Timecourse'!X27)/$E27/$F27,"")</f>
        <v/>
      </c>
      <c r="N27" s="6">
        <f>IFERROR(('01_Input_Timecourse'!Y27-'01_Input_Timecourse'!Z27)/$E27/$F27,"")</f>
        <v/>
      </c>
      <c r="O27" s="6">
        <f>IFERROR(('01_Input_Timecourse'!AA27-'01_Input_Timecourse'!AB27)/$E27/$F27,"")</f>
        <v/>
      </c>
      <c r="P27" s="6">
        <f>IFERROR(('01_Input_Timecourse'!AC27-'01_Input_Timecourse'!AD27)/$E27/$F27,"")</f>
        <v/>
      </c>
      <c r="Q27" s="6">
        <f>IFERROR(('01_Input_Timecourse'!AE27-'01_Input_Timecourse'!AF27)/$E27/$F27,"")</f>
        <v/>
      </c>
      <c r="R27" s="6">
        <f>IFERROR(('01_Input_Timecourse'!AH27-'01_Input_Timecourse'!AG27)/$E27/$F27,"")</f>
        <v/>
      </c>
      <c r="S27" s="6">
        <f>IFERROR(('01_Input_Timecourse'!AJ27-'01_Input_Timecourse'!AI27)/$E27/$F27,"")</f>
        <v/>
      </c>
      <c r="T27" s="6">
        <f>IFERROR(('01_Input_Timecourse'!AL27-'01_Input_Timecourse'!AK27)/$E27/$F27,"")</f>
        <v/>
      </c>
      <c r="U27" s="6">
        <f>IFERROR(('01_Input_Timecourse'!AN27-'01_Input_Timecourse'!AM27)/$E27/$F27,"")</f>
        <v/>
      </c>
      <c r="V27" s="2">
        <f>IF(A27="","",IF(OR(E27&lt;=0,F27&lt;=0),"Check time/VCD","OK"))</f>
        <v/>
      </c>
    </row>
    <row r="28">
      <c r="A28" s="2">
        <f>'01_Input_Timecourse'!A28</f>
        <v/>
      </c>
      <c r="B28" s="2">
        <f>'01_Input_Timecourse'!B28</f>
        <v/>
      </c>
      <c r="C28" s="2">
        <f>'01_Input_Timecourse'!C28</f>
        <v/>
      </c>
      <c r="D28" s="2">
        <f>'01_Input_Timecourse'!D28</f>
        <v/>
      </c>
      <c r="E28" s="6">
        <f>IFERROR(('01_Input_Timecourse'!F28-'01_Input_Timecourse'!E28)/24,"")</f>
        <v/>
      </c>
      <c r="F28" s="6">
        <f>IFERROR(AVERAGE('01_Input_Timecourse'!G28:H28),"")</f>
        <v/>
      </c>
      <c r="G28" s="6">
        <f>IFERROR(('01_Input_Timecourse'!K28-'01_Input_Timecourse'!L28)/$E28/$F28,"")</f>
        <v/>
      </c>
      <c r="H28" s="6">
        <f>IFERROR(('01_Input_Timecourse'!N28-'01_Input_Timecourse'!M28)/$E28/$F28,"")</f>
        <v/>
      </c>
      <c r="I28" s="6">
        <f>IFERROR(('01_Input_Timecourse'!O28-'01_Input_Timecourse'!P28)/$E28/$F28,"")</f>
        <v/>
      </c>
      <c r="J28" s="6">
        <f>IFERROR(('01_Input_Timecourse'!R28-'01_Input_Timecourse'!Q28)/$E28/$F28,"")</f>
        <v/>
      </c>
      <c r="K28" s="6">
        <f>IFERROR(('01_Input_Timecourse'!T28-'01_Input_Timecourse'!S28)/$E28/$F28,"")</f>
        <v/>
      </c>
      <c r="L28" s="6">
        <f>IFERROR(('01_Input_Timecourse'!U28-'01_Input_Timecourse'!V28)/$E28/$F28,"")</f>
        <v/>
      </c>
      <c r="M28" s="6">
        <f>IFERROR(('01_Input_Timecourse'!W28-'01_Input_Timecourse'!X28)/$E28/$F28,"")</f>
        <v/>
      </c>
      <c r="N28" s="6">
        <f>IFERROR(('01_Input_Timecourse'!Y28-'01_Input_Timecourse'!Z28)/$E28/$F28,"")</f>
        <v/>
      </c>
      <c r="O28" s="6">
        <f>IFERROR(('01_Input_Timecourse'!AA28-'01_Input_Timecourse'!AB28)/$E28/$F28,"")</f>
        <v/>
      </c>
      <c r="P28" s="6">
        <f>IFERROR(('01_Input_Timecourse'!AC28-'01_Input_Timecourse'!AD28)/$E28/$F28,"")</f>
        <v/>
      </c>
      <c r="Q28" s="6">
        <f>IFERROR(('01_Input_Timecourse'!AE28-'01_Input_Timecourse'!AF28)/$E28/$F28,"")</f>
        <v/>
      </c>
      <c r="R28" s="6">
        <f>IFERROR(('01_Input_Timecourse'!AH28-'01_Input_Timecourse'!AG28)/$E28/$F28,"")</f>
        <v/>
      </c>
      <c r="S28" s="6">
        <f>IFERROR(('01_Input_Timecourse'!AJ28-'01_Input_Timecourse'!AI28)/$E28/$F28,"")</f>
        <v/>
      </c>
      <c r="T28" s="6">
        <f>IFERROR(('01_Input_Timecourse'!AL28-'01_Input_Timecourse'!AK28)/$E28/$F28,"")</f>
        <v/>
      </c>
      <c r="U28" s="6">
        <f>IFERROR(('01_Input_Timecourse'!AN28-'01_Input_Timecourse'!AM28)/$E28/$F28,"")</f>
        <v/>
      </c>
      <c r="V28" s="2">
        <f>IF(A28="","",IF(OR(E28&lt;=0,F28&lt;=0),"Check time/VCD","OK"))</f>
        <v/>
      </c>
    </row>
    <row r="29">
      <c r="A29" s="2">
        <f>'01_Input_Timecourse'!A29</f>
        <v/>
      </c>
      <c r="B29" s="2">
        <f>'01_Input_Timecourse'!B29</f>
        <v/>
      </c>
      <c r="C29" s="2">
        <f>'01_Input_Timecourse'!C29</f>
        <v/>
      </c>
      <c r="D29" s="2">
        <f>'01_Input_Timecourse'!D29</f>
        <v/>
      </c>
      <c r="E29" s="6">
        <f>IFERROR(('01_Input_Timecourse'!F29-'01_Input_Timecourse'!E29)/24,"")</f>
        <v/>
      </c>
      <c r="F29" s="6">
        <f>IFERROR(AVERAGE('01_Input_Timecourse'!G29:H29),"")</f>
        <v/>
      </c>
      <c r="G29" s="6">
        <f>IFERROR(('01_Input_Timecourse'!K29-'01_Input_Timecourse'!L29)/$E29/$F29,"")</f>
        <v/>
      </c>
      <c r="H29" s="6">
        <f>IFERROR(('01_Input_Timecourse'!N29-'01_Input_Timecourse'!M29)/$E29/$F29,"")</f>
        <v/>
      </c>
      <c r="I29" s="6">
        <f>IFERROR(('01_Input_Timecourse'!O29-'01_Input_Timecourse'!P29)/$E29/$F29,"")</f>
        <v/>
      </c>
      <c r="J29" s="6">
        <f>IFERROR(('01_Input_Timecourse'!R29-'01_Input_Timecourse'!Q29)/$E29/$F29,"")</f>
        <v/>
      </c>
      <c r="K29" s="6">
        <f>IFERROR(('01_Input_Timecourse'!T29-'01_Input_Timecourse'!S29)/$E29/$F29,"")</f>
        <v/>
      </c>
      <c r="L29" s="6">
        <f>IFERROR(('01_Input_Timecourse'!U29-'01_Input_Timecourse'!V29)/$E29/$F29,"")</f>
        <v/>
      </c>
      <c r="M29" s="6">
        <f>IFERROR(('01_Input_Timecourse'!W29-'01_Input_Timecourse'!X29)/$E29/$F29,"")</f>
        <v/>
      </c>
      <c r="N29" s="6">
        <f>IFERROR(('01_Input_Timecourse'!Y29-'01_Input_Timecourse'!Z29)/$E29/$F29,"")</f>
        <v/>
      </c>
      <c r="O29" s="6">
        <f>IFERROR(('01_Input_Timecourse'!AA29-'01_Input_Timecourse'!AB29)/$E29/$F29,"")</f>
        <v/>
      </c>
      <c r="P29" s="6">
        <f>IFERROR(('01_Input_Timecourse'!AC29-'01_Input_Timecourse'!AD29)/$E29/$F29,"")</f>
        <v/>
      </c>
      <c r="Q29" s="6">
        <f>IFERROR(('01_Input_Timecourse'!AE29-'01_Input_Timecourse'!AF29)/$E29/$F29,"")</f>
        <v/>
      </c>
      <c r="R29" s="6">
        <f>IFERROR(('01_Input_Timecourse'!AH29-'01_Input_Timecourse'!AG29)/$E29/$F29,"")</f>
        <v/>
      </c>
      <c r="S29" s="6">
        <f>IFERROR(('01_Input_Timecourse'!AJ29-'01_Input_Timecourse'!AI29)/$E29/$F29,"")</f>
        <v/>
      </c>
      <c r="T29" s="6">
        <f>IFERROR(('01_Input_Timecourse'!AL29-'01_Input_Timecourse'!AK29)/$E29/$F29,"")</f>
        <v/>
      </c>
      <c r="U29" s="6">
        <f>IFERROR(('01_Input_Timecourse'!AN29-'01_Input_Timecourse'!AM29)/$E29/$F29,"")</f>
        <v/>
      </c>
      <c r="V29" s="2">
        <f>IF(A29="","",IF(OR(E29&lt;=0,F29&lt;=0),"Check time/VCD","OK"))</f>
        <v/>
      </c>
    </row>
    <row r="30">
      <c r="A30" s="2">
        <f>'01_Input_Timecourse'!A30</f>
        <v/>
      </c>
      <c r="B30" s="2">
        <f>'01_Input_Timecourse'!B30</f>
        <v/>
      </c>
      <c r="C30" s="2">
        <f>'01_Input_Timecourse'!C30</f>
        <v/>
      </c>
      <c r="D30" s="2">
        <f>'01_Input_Timecourse'!D30</f>
        <v/>
      </c>
      <c r="E30" s="6">
        <f>IFERROR(('01_Input_Timecourse'!F30-'01_Input_Timecourse'!E30)/24,"")</f>
        <v/>
      </c>
      <c r="F30" s="6">
        <f>IFERROR(AVERAGE('01_Input_Timecourse'!G30:H30),"")</f>
        <v/>
      </c>
      <c r="G30" s="6">
        <f>IFERROR(('01_Input_Timecourse'!K30-'01_Input_Timecourse'!L30)/$E30/$F30,"")</f>
        <v/>
      </c>
      <c r="H30" s="6">
        <f>IFERROR(('01_Input_Timecourse'!N30-'01_Input_Timecourse'!M30)/$E30/$F30,"")</f>
        <v/>
      </c>
      <c r="I30" s="6">
        <f>IFERROR(('01_Input_Timecourse'!O30-'01_Input_Timecourse'!P30)/$E30/$F30,"")</f>
        <v/>
      </c>
      <c r="J30" s="6">
        <f>IFERROR(('01_Input_Timecourse'!R30-'01_Input_Timecourse'!Q30)/$E30/$F30,"")</f>
        <v/>
      </c>
      <c r="K30" s="6">
        <f>IFERROR(('01_Input_Timecourse'!T30-'01_Input_Timecourse'!S30)/$E30/$F30,"")</f>
        <v/>
      </c>
      <c r="L30" s="6">
        <f>IFERROR(('01_Input_Timecourse'!U30-'01_Input_Timecourse'!V30)/$E30/$F30,"")</f>
        <v/>
      </c>
      <c r="M30" s="6">
        <f>IFERROR(('01_Input_Timecourse'!W30-'01_Input_Timecourse'!X30)/$E30/$F30,"")</f>
        <v/>
      </c>
      <c r="N30" s="6">
        <f>IFERROR(('01_Input_Timecourse'!Y30-'01_Input_Timecourse'!Z30)/$E30/$F30,"")</f>
        <v/>
      </c>
      <c r="O30" s="6">
        <f>IFERROR(('01_Input_Timecourse'!AA30-'01_Input_Timecourse'!AB30)/$E30/$F30,"")</f>
        <v/>
      </c>
      <c r="P30" s="6">
        <f>IFERROR(('01_Input_Timecourse'!AC30-'01_Input_Timecourse'!AD30)/$E30/$F30,"")</f>
        <v/>
      </c>
      <c r="Q30" s="6">
        <f>IFERROR(('01_Input_Timecourse'!AE30-'01_Input_Timecourse'!AF30)/$E30/$F30,"")</f>
        <v/>
      </c>
      <c r="R30" s="6">
        <f>IFERROR(('01_Input_Timecourse'!AH30-'01_Input_Timecourse'!AG30)/$E30/$F30,"")</f>
        <v/>
      </c>
      <c r="S30" s="6">
        <f>IFERROR(('01_Input_Timecourse'!AJ30-'01_Input_Timecourse'!AI30)/$E30/$F30,"")</f>
        <v/>
      </c>
      <c r="T30" s="6">
        <f>IFERROR(('01_Input_Timecourse'!AL30-'01_Input_Timecourse'!AK30)/$E30/$F30,"")</f>
        <v/>
      </c>
      <c r="U30" s="6">
        <f>IFERROR(('01_Input_Timecourse'!AN30-'01_Input_Timecourse'!AM30)/$E30/$F30,"")</f>
        <v/>
      </c>
      <c r="V30" s="2">
        <f>IF(A30="","",IF(OR(E30&lt;=0,F30&lt;=0),"Check time/VCD","OK"))</f>
        <v/>
      </c>
    </row>
    <row r="31">
      <c r="A31" s="2">
        <f>'01_Input_Timecourse'!A31</f>
        <v/>
      </c>
      <c r="B31" s="2">
        <f>'01_Input_Timecourse'!B31</f>
        <v/>
      </c>
      <c r="C31" s="2">
        <f>'01_Input_Timecourse'!C31</f>
        <v/>
      </c>
      <c r="D31" s="2">
        <f>'01_Input_Timecourse'!D31</f>
        <v/>
      </c>
      <c r="E31" s="6">
        <f>IFERROR(('01_Input_Timecourse'!F31-'01_Input_Timecourse'!E31)/24,"")</f>
        <v/>
      </c>
      <c r="F31" s="6">
        <f>IFERROR(AVERAGE('01_Input_Timecourse'!G31:H31),"")</f>
        <v/>
      </c>
      <c r="G31" s="6">
        <f>IFERROR(('01_Input_Timecourse'!K31-'01_Input_Timecourse'!L31)/$E31/$F31,"")</f>
        <v/>
      </c>
      <c r="H31" s="6">
        <f>IFERROR(('01_Input_Timecourse'!N31-'01_Input_Timecourse'!M31)/$E31/$F31,"")</f>
        <v/>
      </c>
      <c r="I31" s="6">
        <f>IFERROR(('01_Input_Timecourse'!O31-'01_Input_Timecourse'!P31)/$E31/$F31,"")</f>
        <v/>
      </c>
      <c r="J31" s="6">
        <f>IFERROR(('01_Input_Timecourse'!R31-'01_Input_Timecourse'!Q31)/$E31/$F31,"")</f>
        <v/>
      </c>
      <c r="K31" s="6">
        <f>IFERROR(('01_Input_Timecourse'!T31-'01_Input_Timecourse'!S31)/$E31/$F31,"")</f>
        <v/>
      </c>
      <c r="L31" s="6">
        <f>IFERROR(('01_Input_Timecourse'!U31-'01_Input_Timecourse'!V31)/$E31/$F31,"")</f>
        <v/>
      </c>
      <c r="M31" s="6">
        <f>IFERROR(('01_Input_Timecourse'!W31-'01_Input_Timecourse'!X31)/$E31/$F31,"")</f>
        <v/>
      </c>
      <c r="N31" s="6">
        <f>IFERROR(('01_Input_Timecourse'!Y31-'01_Input_Timecourse'!Z31)/$E31/$F31,"")</f>
        <v/>
      </c>
      <c r="O31" s="6">
        <f>IFERROR(('01_Input_Timecourse'!AA31-'01_Input_Timecourse'!AB31)/$E31/$F31,"")</f>
        <v/>
      </c>
      <c r="P31" s="6">
        <f>IFERROR(('01_Input_Timecourse'!AC31-'01_Input_Timecourse'!AD31)/$E31/$F31,"")</f>
        <v/>
      </c>
      <c r="Q31" s="6">
        <f>IFERROR(('01_Input_Timecourse'!AE31-'01_Input_Timecourse'!AF31)/$E31/$F31,"")</f>
        <v/>
      </c>
      <c r="R31" s="6">
        <f>IFERROR(('01_Input_Timecourse'!AH31-'01_Input_Timecourse'!AG31)/$E31/$F31,"")</f>
        <v/>
      </c>
      <c r="S31" s="6">
        <f>IFERROR(('01_Input_Timecourse'!AJ31-'01_Input_Timecourse'!AI31)/$E31/$F31,"")</f>
        <v/>
      </c>
      <c r="T31" s="6">
        <f>IFERROR(('01_Input_Timecourse'!AL31-'01_Input_Timecourse'!AK31)/$E31/$F31,"")</f>
        <v/>
      </c>
      <c r="U31" s="6">
        <f>IFERROR(('01_Input_Timecourse'!AN31-'01_Input_Timecourse'!AM31)/$E31/$F31,"")</f>
        <v/>
      </c>
      <c r="V31" s="2">
        <f>IF(A31="","",IF(OR(E31&lt;=0,F31&lt;=0),"Check time/VCD","OK"))</f>
        <v/>
      </c>
    </row>
    <row r="32">
      <c r="A32" s="2">
        <f>'01_Input_Timecourse'!A32</f>
        <v/>
      </c>
      <c r="B32" s="2">
        <f>'01_Input_Timecourse'!B32</f>
        <v/>
      </c>
      <c r="C32" s="2">
        <f>'01_Input_Timecourse'!C32</f>
        <v/>
      </c>
      <c r="D32" s="2">
        <f>'01_Input_Timecourse'!D32</f>
        <v/>
      </c>
      <c r="E32" s="6">
        <f>IFERROR(('01_Input_Timecourse'!F32-'01_Input_Timecourse'!E32)/24,"")</f>
        <v/>
      </c>
      <c r="F32" s="6">
        <f>IFERROR(AVERAGE('01_Input_Timecourse'!G32:H32),"")</f>
        <v/>
      </c>
      <c r="G32" s="6">
        <f>IFERROR(('01_Input_Timecourse'!K32-'01_Input_Timecourse'!L32)/$E32/$F32,"")</f>
        <v/>
      </c>
      <c r="H32" s="6">
        <f>IFERROR(('01_Input_Timecourse'!N32-'01_Input_Timecourse'!M32)/$E32/$F32,"")</f>
        <v/>
      </c>
      <c r="I32" s="6">
        <f>IFERROR(('01_Input_Timecourse'!O32-'01_Input_Timecourse'!P32)/$E32/$F32,"")</f>
        <v/>
      </c>
      <c r="J32" s="6">
        <f>IFERROR(('01_Input_Timecourse'!R32-'01_Input_Timecourse'!Q32)/$E32/$F32,"")</f>
        <v/>
      </c>
      <c r="K32" s="6">
        <f>IFERROR(('01_Input_Timecourse'!T32-'01_Input_Timecourse'!S32)/$E32/$F32,"")</f>
        <v/>
      </c>
      <c r="L32" s="6">
        <f>IFERROR(('01_Input_Timecourse'!U32-'01_Input_Timecourse'!V32)/$E32/$F32,"")</f>
        <v/>
      </c>
      <c r="M32" s="6">
        <f>IFERROR(('01_Input_Timecourse'!W32-'01_Input_Timecourse'!X32)/$E32/$F32,"")</f>
        <v/>
      </c>
      <c r="N32" s="6">
        <f>IFERROR(('01_Input_Timecourse'!Y32-'01_Input_Timecourse'!Z32)/$E32/$F32,"")</f>
        <v/>
      </c>
      <c r="O32" s="6">
        <f>IFERROR(('01_Input_Timecourse'!AA32-'01_Input_Timecourse'!AB32)/$E32/$F32,"")</f>
        <v/>
      </c>
      <c r="P32" s="6">
        <f>IFERROR(('01_Input_Timecourse'!AC32-'01_Input_Timecourse'!AD32)/$E32/$F32,"")</f>
        <v/>
      </c>
      <c r="Q32" s="6">
        <f>IFERROR(('01_Input_Timecourse'!AE32-'01_Input_Timecourse'!AF32)/$E32/$F32,"")</f>
        <v/>
      </c>
      <c r="R32" s="6">
        <f>IFERROR(('01_Input_Timecourse'!AH32-'01_Input_Timecourse'!AG32)/$E32/$F32,"")</f>
        <v/>
      </c>
      <c r="S32" s="6">
        <f>IFERROR(('01_Input_Timecourse'!AJ32-'01_Input_Timecourse'!AI32)/$E32/$F32,"")</f>
        <v/>
      </c>
      <c r="T32" s="6">
        <f>IFERROR(('01_Input_Timecourse'!AL32-'01_Input_Timecourse'!AK32)/$E32/$F32,"")</f>
        <v/>
      </c>
      <c r="U32" s="6">
        <f>IFERROR(('01_Input_Timecourse'!AN32-'01_Input_Timecourse'!AM32)/$E32/$F32,"")</f>
        <v/>
      </c>
      <c r="V32" s="2">
        <f>IF(A32="","",IF(OR(E32&lt;=0,F32&lt;=0),"Check time/VCD","OK"))</f>
        <v/>
      </c>
    </row>
    <row r="33">
      <c r="A33" s="2">
        <f>'01_Input_Timecourse'!A33</f>
        <v/>
      </c>
      <c r="B33" s="2">
        <f>'01_Input_Timecourse'!B33</f>
        <v/>
      </c>
      <c r="C33" s="2">
        <f>'01_Input_Timecourse'!C33</f>
        <v/>
      </c>
      <c r="D33" s="2">
        <f>'01_Input_Timecourse'!D33</f>
        <v/>
      </c>
      <c r="E33" s="6">
        <f>IFERROR(('01_Input_Timecourse'!F33-'01_Input_Timecourse'!E33)/24,"")</f>
        <v/>
      </c>
      <c r="F33" s="6">
        <f>IFERROR(AVERAGE('01_Input_Timecourse'!G33:H33),"")</f>
        <v/>
      </c>
      <c r="G33" s="6">
        <f>IFERROR(('01_Input_Timecourse'!K33-'01_Input_Timecourse'!L33)/$E33/$F33,"")</f>
        <v/>
      </c>
      <c r="H33" s="6">
        <f>IFERROR(('01_Input_Timecourse'!N33-'01_Input_Timecourse'!M33)/$E33/$F33,"")</f>
        <v/>
      </c>
      <c r="I33" s="6">
        <f>IFERROR(('01_Input_Timecourse'!O33-'01_Input_Timecourse'!P33)/$E33/$F33,"")</f>
        <v/>
      </c>
      <c r="J33" s="6">
        <f>IFERROR(('01_Input_Timecourse'!R33-'01_Input_Timecourse'!Q33)/$E33/$F33,"")</f>
        <v/>
      </c>
      <c r="K33" s="6">
        <f>IFERROR(('01_Input_Timecourse'!T33-'01_Input_Timecourse'!S33)/$E33/$F33,"")</f>
        <v/>
      </c>
      <c r="L33" s="6">
        <f>IFERROR(('01_Input_Timecourse'!U33-'01_Input_Timecourse'!V33)/$E33/$F33,"")</f>
        <v/>
      </c>
      <c r="M33" s="6">
        <f>IFERROR(('01_Input_Timecourse'!W33-'01_Input_Timecourse'!X33)/$E33/$F33,"")</f>
        <v/>
      </c>
      <c r="N33" s="6">
        <f>IFERROR(('01_Input_Timecourse'!Y33-'01_Input_Timecourse'!Z33)/$E33/$F33,"")</f>
        <v/>
      </c>
      <c r="O33" s="6">
        <f>IFERROR(('01_Input_Timecourse'!AA33-'01_Input_Timecourse'!AB33)/$E33/$F33,"")</f>
        <v/>
      </c>
      <c r="P33" s="6">
        <f>IFERROR(('01_Input_Timecourse'!AC33-'01_Input_Timecourse'!AD33)/$E33/$F33,"")</f>
        <v/>
      </c>
      <c r="Q33" s="6">
        <f>IFERROR(('01_Input_Timecourse'!AE33-'01_Input_Timecourse'!AF33)/$E33/$F33,"")</f>
        <v/>
      </c>
      <c r="R33" s="6">
        <f>IFERROR(('01_Input_Timecourse'!AH33-'01_Input_Timecourse'!AG33)/$E33/$F33,"")</f>
        <v/>
      </c>
      <c r="S33" s="6">
        <f>IFERROR(('01_Input_Timecourse'!AJ33-'01_Input_Timecourse'!AI33)/$E33/$F33,"")</f>
        <v/>
      </c>
      <c r="T33" s="6">
        <f>IFERROR(('01_Input_Timecourse'!AL33-'01_Input_Timecourse'!AK33)/$E33/$F33,"")</f>
        <v/>
      </c>
      <c r="U33" s="6">
        <f>IFERROR(('01_Input_Timecourse'!AN33-'01_Input_Timecourse'!AM33)/$E33/$F33,"")</f>
        <v/>
      </c>
      <c r="V33" s="2">
        <f>IF(A33="","",IF(OR(E33&lt;=0,F33&lt;=0),"Check time/VCD","OK"))</f>
        <v/>
      </c>
    </row>
    <row r="34">
      <c r="A34" s="2">
        <f>'01_Input_Timecourse'!A34</f>
        <v/>
      </c>
      <c r="B34" s="2">
        <f>'01_Input_Timecourse'!B34</f>
        <v/>
      </c>
      <c r="C34" s="2">
        <f>'01_Input_Timecourse'!C34</f>
        <v/>
      </c>
      <c r="D34" s="2">
        <f>'01_Input_Timecourse'!D34</f>
        <v/>
      </c>
      <c r="E34" s="6">
        <f>IFERROR(('01_Input_Timecourse'!F34-'01_Input_Timecourse'!E34)/24,"")</f>
        <v/>
      </c>
      <c r="F34" s="6">
        <f>IFERROR(AVERAGE('01_Input_Timecourse'!G34:H34),"")</f>
        <v/>
      </c>
      <c r="G34" s="6">
        <f>IFERROR(('01_Input_Timecourse'!K34-'01_Input_Timecourse'!L34)/$E34/$F34,"")</f>
        <v/>
      </c>
      <c r="H34" s="6">
        <f>IFERROR(('01_Input_Timecourse'!N34-'01_Input_Timecourse'!M34)/$E34/$F34,"")</f>
        <v/>
      </c>
      <c r="I34" s="6">
        <f>IFERROR(('01_Input_Timecourse'!O34-'01_Input_Timecourse'!P34)/$E34/$F34,"")</f>
        <v/>
      </c>
      <c r="J34" s="6">
        <f>IFERROR(('01_Input_Timecourse'!R34-'01_Input_Timecourse'!Q34)/$E34/$F34,"")</f>
        <v/>
      </c>
      <c r="K34" s="6">
        <f>IFERROR(('01_Input_Timecourse'!T34-'01_Input_Timecourse'!S34)/$E34/$F34,"")</f>
        <v/>
      </c>
      <c r="L34" s="6">
        <f>IFERROR(('01_Input_Timecourse'!U34-'01_Input_Timecourse'!V34)/$E34/$F34,"")</f>
        <v/>
      </c>
      <c r="M34" s="6">
        <f>IFERROR(('01_Input_Timecourse'!W34-'01_Input_Timecourse'!X34)/$E34/$F34,"")</f>
        <v/>
      </c>
      <c r="N34" s="6">
        <f>IFERROR(('01_Input_Timecourse'!Y34-'01_Input_Timecourse'!Z34)/$E34/$F34,"")</f>
        <v/>
      </c>
      <c r="O34" s="6">
        <f>IFERROR(('01_Input_Timecourse'!AA34-'01_Input_Timecourse'!AB34)/$E34/$F34,"")</f>
        <v/>
      </c>
      <c r="P34" s="6">
        <f>IFERROR(('01_Input_Timecourse'!AC34-'01_Input_Timecourse'!AD34)/$E34/$F34,"")</f>
        <v/>
      </c>
      <c r="Q34" s="6">
        <f>IFERROR(('01_Input_Timecourse'!AE34-'01_Input_Timecourse'!AF34)/$E34/$F34,"")</f>
        <v/>
      </c>
      <c r="R34" s="6">
        <f>IFERROR(('01_Input_Timecourse'!AH34-'01_Input_Timecourse'!AG34)/$E34/$F34,"")</f>
        <v/>
      </c>
      <c r="S34" s="6">
        <f>IFERROR(('01_Input_Timecourse'!AJ34-'01_Input_Timecourse'!AI34)/$E34/$F34,"")</f>
        <v/>
      </c>
      <c r="T34" s="6">
        <f>IFERROR(('01_Input_Timecourse'!AL34-'01_Input_Timecourse'!AK34)/$E34/$F34,"")</f>
        <v/>
      </c>
      <c r="U34" s="6">
        <f>IFERROR(('01_Input_Timecourse'!AN34-'01_Input_Timecourse'!AM34)/$E34/$F34,"")</f>
        <v/>
      </c>
      <c r="V34" s="2">
        <f>IF(A34="","",IF(OR(E34&lt;=0,F34&lt;=0),"Check time/VCD","OK"))</f>
        <v/>
      </c>
    </row>
    <row r="35">
      <c r="A35" s="2">
        <f>'01_Input_Timecourse'!A35</f>
        <v/>
      </c>
      <c r="B35" s="2">
        <f>'01_Input_Timecourse'!B35</f>
        <v/>
      </c>
      <c r="C35" s="2">
        <f>'01_Input_Timecourse'!C35</f>
        <v/>
      </c>
      <c r="D35" s="2">
        <f>'01_Input_Timecourse'!D35</f>
        <v/>
      </c>
      <c r="E35" s="6">
        <f>IFERROR(('01_Input_Timecourse'!F35-'01_Input_Timecourse'!E35)/24,"")</f>
        <v/>
      </c>
      <c r="F35" s="6">
        <f>IFERROR(AVERAGE('01_Input_Timecourse'!G35:H35),"")</f>
        <v/>
      </c>
      <c r="G35" s="6">
        <f>IFERROR(('01_Input_Timecourse'!K35-'01_Input_Timecourse'!L35)/$E35/$F35,"")</f>
        <v/>
      </c>
      <c r="H35" s="6">
        <f>IFERROR(('01_Input_Timecourse'!N35-'01_Input_Timecourse'!M35)/$E35/$F35,"")</f>
        <v/>
      </c>
      <c r="I35" s="6">
        <f>IFERROR(('01_Input_Timecourse'!O35-'01_Input_Timecourse'!P35)/$E35/$F35,"")</f>
        <v/>
      </c>
      <c r="J35" s="6">
        <f>IFERROR(('01_Input_Timecourse'!R35-'01_Input_Timecourse'!Q35)/$E35/$F35,"")</f>
        <v/>
      </c>
      <c r="K35" s="6">
        <f>IFERROR(('01_Input_Timecourse'!T35-'01_Input_Timecourse'!S35)/$E35/$F35,"")</f>
        <v/>
      </c>
      <c r="L35" s="6">
        <f>IFERROR(('01_Input_Timecourse'!U35-'01_Input_Timecourse'!V35)/$E35/$F35,"")</f>
        <v/>
      </c>
      <c r="M35" s="6">
        <f>IFERROR(('01_Input_Timecourse'!W35-'01_Input_Timecourse'!X35)/$E35/$F35,"")</f>
        <v/>
      </c>
      <c r="N35" s="6">
        <f>IFERROR(('01_Input_Timecourse'!Y35-'01_Input_Timecourse'!Z35)/$E35/$F35,"")</f>
        <v/>
      </c>
      <c r="O35" s="6">
        <f>IFERROR(('01_Input_Timecourse'!AA35-'01_Input_Timecourse'!AB35)/$E35/$F35,"")</f>
        <v/>
      </c>
      <c r="P35" s="6">
        <f>IFERROR(('01_Input_Timecourse'!AC35-'01_Input_Timecourse'!AD35)/$E35/$F35,"")</f>
        <v/>
      </c>
      <c r="Q35" s="6">
        <f>IFERROR(('01_Input_Timecourse'!AE35-'01_Input_Timecourse'!AF35)/$E35/$F35,"")</f>
        <v/>
      </c>
      <c r="R35" s="6">
        <f>IFERROR(('01_Input_Timecourse'!AH35-'01_Input_Timecourse'!AG35)/$E35/$F35,"")</f>
        <v/>
      </c>
      <c r="S35" s="6">
        <f>IFERROR(('01_Input_Timecourse'!AJ35-'01_Input_Timecourse'!AI35)/$E35/$F35,"")</f>
        <v/>
      </c>
      <c r="T35" s="6">
        <f>IFERROR(('01_Input_Timecourse'!AL35-'01_Input_Timecourse'!AK35)/$E35/$F35,"")</f>
        <v/>
      </c>
      <c r="U35" s="6">
        <f>IFERROR(('01_Input_Timecourse'!AN35-'01_Input_Timecourse'!AM35)/$E35/$F35,"")</f>
        <v/>
      </c>
      <c r="V35" s="2">
        <f>IF(A35="","",IF(OR(E35&lt;=0,F35&lt;=0),"Check time/VCD","OK"))</f>
        <v/>
      </c>
    </row>
    <row r="36">
      <c r="A36" s="2">
        <f>'01_Input_Timecourse'!A36</f>
        <v/>
      </c>
      <c r="B36" s="2">
        <f>'01_Input_Timecourse'!B36</f>
        <v/>
      </c>
      <c r="C36" s="2">
        <f>'01_Input_Timecourse'!C36</f>
        <v/>
      </c>
      <c r="D36" s="2">
        <f>'01_Input_Timecourse'!D36</f>
        <v/>
      </c>
      <c r="E36" s="6">
        <f>IFERROR(('01_Input_Timecourse'!F36-'01_Input_Timecourse'!E36)/24,"")</f>
        <v/>
      </c>
      <c r="F36" s="6">
        <f>IFERROR(AVERAGE('01_Input_Timecourse'!G36:H36),"")</f>
        <v/>
      </c>
      <c r="G36" s="6">
        <f>IFERROR(('01_Input_Timecourse'!K36-'01_Input_Timecourse'!L36)/$E36/$F36,"")</f>
        <v/>
      </c>
      <c r="H36" s="6">
        <f>IFERROR(('01_Input_Timecourse'!N36-'01_Input_Timecourse'!M36)/$E36/$F36,"")</f>
        <v/>
      </c>
      <c r="I36" s="6">
        <f>IFERROR(('01_Input_Timecourse'!O36-'01_Input_Timecourse'!P36)/$E36/$F36,"")</f>
        <v/>
      </c>
      <c r="J36" s="6">
        <f>IFERROR(('01_Input_Timecourse'!R36-'01_Input_Timecourse'!Q36)/$E36/$F36,"")</f>
        <v/>
      </c>
      <c r="K36" s="6">
        <f>IFERROR(('01_Input_Timecourse'!T36-'01_Input_Timecourse'!S36)/$E36/$F36,"")</f>
        <v/>
      </c>
      <c r="L36" s="6">
        <f>IFERROR(('01_Input_Timecourse'!U36-'01_Input_Timecourse'!V36)/$E36/$F36,"")</f>
        <v/>
      </c>
      <c r="M36" s="6">
        <f>IFERROR(('01_Input_Timecourse'!W36-'01_Input_Timecourse'!X36)/$E36/$F36,"")</f>
        <v/>
      </c>
      <c r="N36" s="6">
        <f>IFERROR(('01_Input_Timecourse'!Y36-'01_Input_Timecourse'!Z36)/$E36/$F36,"")</f>
        <v/>
      </c>
      <c r="O36" s="6">
        <f>IFERROR(('01_Input_Timecourse'!AA36-'01_Input_Timecourse'!AB36)/$E36/$F36,"")</f>
        <v/>
      </c>
      <c r="P36" s="6">
        <f>IFERROR(('01_Input_Timecourse'!AC36-'01_Input_Timecourse'!AD36)/$E36/$F36,"")</f>
        <v/>
      </c>
      <c r="Q36" s="6">
        <f>IFERROR(('01_Input_Timecourse'!AE36-'01_Input_Timecourse'!AF36)/$E36/$F36,"")</f>
        <v/>
      </c>
      <c r="R36" s="6">
        <f>IFERROR(('01_Input_Timecourse'!AH36-'01_Input_Timecourse'!AG36)/$E36/$F36,"")</f>
        <v/>
      </c>
      <c r="S36" s="6">
        <f>IFERROR(('01_Input_Timecourse'!AJ36-'01_Input_Timecourse'!AI36)/$E36/$F36,"")</f>
        <v/>
      </c>
      <c r="T36" s="6">
        <f>IFERROR(('01_Input_Timecourse'!AL36-'01_Input_Timecourse'!AK36)/$E36/$F36,"")</f>
        <v/>
      </c>
      <c r="U36" s="6">
        <f>IFERROR(('01_Input_Timecourse'!AN36-'01_Input_Timecourse'!AM36)/$E36/$F36,"")</f>
        <v/>
      </c>
      <c r="V36" s="2">
        <f>IF(A36="","",IF(OR(E36&lt;=0,F36&lt;=0),"Check time/VCD","OK"))</f>
        <v/>
      </c>
    </row>
    <row r="37">
      <c r="A37" s="2">
        <f>'01_Input_Timecourse'!A37</f>
        <v/>
      </c>
      <c r="B37" s="2">
        <f>'01_Input_Timecourse'!B37</f>
        <v/>
      </c>
      <c r="C37" s="2">
        <f>'01_Input_Timecourse'!C37</f>
        <v/>
      </c>
      <c r="D37" s="2">
        <f>'01_Input_Timecourse'!D37</f>
        <v/>
      </c>
      <c r="E37" s="6">
        <f>IFERROR(('01_Input_Timecourse'!F37-'01_Input_Timecourse'!E37)/24,"")</f>
        <v/>
      </c>
      <c r="F37" s="6">
        <f>IFERROR(AVERAGE('01_Input_Timecourse'!G37:H37),"")</f>
        <v/>
      </c>
      <c r="G37" s="6">
        <f>IFERROR(('01_Input_Timecourse'!K37-'01_Input_Timecourse'!L37)/$E37/$F37,"")</f>
        <v/>
      </c>
      <c r="H37" s="6">
        <f>IFERROR(('01_Input_Timecourse'!N37-'01_Input_Timecourse'!M37)/$E37/$F37,"")</f>
        <v/>
      </c>
      <c r="I37" s="6">
        <f>IFERROR(('01_Input_Timecourse'!O37-'01_Input_Timecourse'!P37)/$E37/$F37,"")</f>
        <v/>
      </c>
      <c r="J37" s="6">
        <f>IFERROR(('01_Input_Timecourse'!R37-'01_Input_Timecourse'!Q37)/$E37/$F37,"")</f>
        <v/>
      </c>
      <c r="K37" s="6">
        <f>IFERROR(('01_Input_Timecourse'!T37-'01_Input_Timecourse'!S37)/$E37/$F37,"")</f>
        <v/>
      </c>
      <c r="L37" s="6">
        <f>IFERROR(('01_Input_Timecourse'!U37-'01_Input_Timecourse'!V37)/$E37/$F37,"")</f>
        <v/>
      </c>
      <c r="M37" s="6">
        <f>IFERROR(('01_Input_Timecourse'!W37-'01_Input_Timecourse'!X37)/$E37/$F37,"")</f>
        <v/>
      </c>
      <c r="N37" s="6">
        <f>IFERROR(('01_Input_Timecourse'!Y37-'01_Input_Timecourse'!Z37)/$E37/$F37,"")</f>
        <v/>
      </c>
      <c r="O37" s="6">
        <f>IFERROR(('01_Input_Timecourse'!AA37-'01_Input_Timecourse'!AB37)/$E37/$F37,"")</f>
        <v/>
      </c>
      <c r="P37" s="6">
        <f>IFERROR(('01_Input_Timecourse'!AC37-'01_Input_Timecourse'!AD37)/$E37/$F37,"")</f>
        <v/>
      </c>
      <c r="Q37" s="6">
        <f>IFERROR(('01_Input_Timecourse'!AE37-'01_Input_Timecourse'!AF37)/$E37/$F37,"")</f>
        <v/>
      </c>
      <c r="R37" s="6">
        <f>IFERROR(('01_Input_Timecourse'!AH37-'01_Input_Timecourse'!AG37)/$E37/$F37,"")</f>
        <v/>
      </c>
      <c r="S37" s="6">
        <f>IFERROR(('01_Input_Timecourse'!AJ37-'01_Input_Timecourse'!AI37)/$E37/$F37,"")</f>
        <v/>
      </c>
      <c r="T37" s="6">
        <f>IFERROR(('01_Input_Timecourse'!AL37-'01_Input_Timecourse'!AK37)/$E37/$F37,"")</f>
        <v/>
      </c>
      <c r="U37" s="6">
        <f>IFERROR(('01_Input_Timecourse'!AN37-'01_Input_Timecourse'!AM37)/$E37/$F37,"")</f>
        <v/>
      </c>
      <c r="V37" s="2">
        <f>IF(A37="","",IF(OR(E37&lt;=0,F37&lt;=0),"Check time/VCD","OK"))</f>
        <v/>
      </c>
    </row>
    <row r="38">
      <c r="A38" s="2">
        <f>'01_Input_Timecourse'!A38</f>
        <v/>
      </c>
      <c r="B38" s="2">
        <f>'01_Input_Timecourse'!B38</f>
        <v/>
      </c>
      <c r="C38" s="2">
        <f>'01_Input_Timecourse'!C38</f>
        <v/>
      </c>
      <c r="D38" s="2">
        <f>'01_Input_Timecourse'!D38</f>
        <v/>
      </c>
      <c r="E38" s="6">
        <f>IFERROR(('01_Input_Timecourse'!F38-'01_Input_Timecourse'!E38)/24,"")</f>
        <v/>
      </c>
      <c r="F38" s="6">
        <f>IFERROR(AVERAGE('01_Input_Timecourse'!G38:H38),"")</f>
        <v/>
      </c>
      <c r="G38" s="6">
        <f>IFERROR(('01_Input_Timecourse'!K38-'01_Input_Timecourse'!L38)/$E38/$F38,"")</f>
        <v/>
      </c>
      <c r="H38" s="6">
        <f>IFERROR(('01_Input_Timecourse'!N38-'01_Input_Timecourse'!M38)/$E38/$F38,"")</f>
        <v/>
      </c>
      <c r="I38" s="6">
        <f>IFERROR(('01_Input_Timecourse'!O38-'01_Input_Timecourse'!P38)/$E38/$F38,"")</f>
        <v/>
      </c>
      <c r="J38" s="6">
        <f>IFERROR(('01_Input_Timecourse'!R38-'01_Input_Timecourse'!Q38)/$E38/$F38,"")</f>
        <v/>
      </c>
      <c r="K38" s="6">
        <f>IFERROR(('01_Input_Timecourse'!T38-'01_Input_Timecourse'!S38)/$E38/$F38,"")</f>
        <v/>
      </c>
      <c r="L38" s="6">
        <f>IFERROR(('01_Input_Timecourse'!U38-'01_Input_Timecourse'!V38)/$E38/$F38,"")</f>
        <v/>
      </c>
      <c r="M38" s="6">
        <f>IFERROR(('01_Input_Timecourse'!W38-'01_Input_Timecourse'!X38)/$E38/$F38,"")</f>
        <v/>
      </c>
      <c r="N38" s="6">
        <f>IFERROR(('01_Input_Timecourse'!Y38-'01_Input_Timecourse'!Z38)/$E38/$F38,"")</f>
        <v/>
      </c>
      <c r="O38" s="6">
        <f>IFERROR(('01_Input_Timecourse'!AA38-'01_Input_Timecourse'!AB38)/$E38/$F38,"")</f>
        <v/>
      </c>
      <c r="P38" s="6">
        <f>IFERROR(('01_Input_Timecourse'!AC38-'01_Input_Timecourse'!AD38)/$E38/$F38,"")</f>
        <v/>
      </c>
      <c r="Q38" s="6">
        <f>IFERROR(('01_Input_Timecourse'!AE38-'01_Input_Timecourse'!AF38)/$E38/$F38,"")</f>
        <v/>
      </c>
      <c r="R38" s="6">
        <f>IFERROR(('01_Input_Timecourse'!AH38-'01_Input_Timecourse'!AG38)/$E38/$F38,"")</f>
        <v/>
      </c>
      <c r="S38" s="6">
        <f>IFERROR(('01_Input_Timecourse'!AJ38-'01_Input_Timecourse'!AI38)/$E38/$F38,"")</f>
        <v/>
      </c>
      <c r="T38" s="6">
        <f>IFERROR(('01_Input_Timecourse'!AL38-'01_Input_Timecourse'!AK38)/$E38/$F38,"")</f>
        <v/>
      </c>
      <c r="U38" s="6">
        <f>IFERROR(('01_Input_Timecourse'!AN38-'01_Input_Timecourse'!AM38)/$E38/$F38,"")</f>
        <v/>
      </c>
      <c r="V38" s="2">
        <f>IF(A38="","",IF(OR(E38&lt;=0,F38&lt;=0),"Check time/VCD","OK"))</f>
        <v/>
      </c>
    </row>
    <row r="39">
      <c r="A39" s="2">
        <f>'01_Input_Timecourse'!A39</f>
        <v/>
      </c>
      <c r="B39" s="2">
        <f>'01_Input_Timecourse'!B39</f>
        <v/>
      </c>
      <c r="C39" s="2">
        <f>'01_Input_Timecourse'!C39</f>
        <v/>
      </c>
      <c r="D39" s="2">
        <f>'01_Input_Timecourse'!D39</f>
        <v/>
      </c>
      <c r="E39" s="6">
        <f>IFERROR(('01_Input_Timecourse'!F39-'01_Input_Timecourse'!E39)/24,"")</f>
        <v/>
      </c>
      <c r="F39" s="6">
        <f>IFERROR(AVERAGE('01_Input_Timecourse'!G39:H39),"")</f>
        <v/>
      </c>
      <c r="G39" s="6">
        <f>IFERROR(('01_Input_Timecourse'!K39-'01_Input_Timecourse'!L39)/$E39/$F39,"")</f>
        <v/>
      </c>
      <c r="H39" s="6">
        <f>IFERROR(('01_Input_Timecourse'!N39-'01_Input_Timecourse'!M39)/$E39/$F39,"")</f>
        <v/>
      </c>
      <c r="I39" s="6">
        <f>IFERROR(('01_Input_Timecourse'!O39-'01_Input_Timecourse'!P39)/$E39/$F39,"")</f>
        <v/>
      </c>
      <c r="J39" s="6">
        <f>IFERROR(('01_Input_Timecourse'!R39-'01_Input_Timecourse'!Q39)/$E39/$F39,"")</f>
        <v/>
      </c>
      <c r="K39" s="6">
        <f>IFERROR(('01_Input_Timecourse'!T39-'01_Input_Timecourse'!S39)/$E39/$F39,"")</f>
        <v/>
      </c>
      <c r="L39" s="6">
        <f>IFERROR(('01_Input_Timecourse'!U39-'01_Input_Timecourse'!V39)/$E39/$F39,"")</f>
        <v/>
      </c>
      <c r="M39" s="6">
        <f>IFERROR(('01_Input_Timecourse'!W39-'01_Input_Timecourse'!X39)/$E39/$F39,"")</f>
        <v/>
      </c>
      <c r="N39" s="6">
        <f>IFERROR(('01_Input_Timecourse'!Y39-'01_Input_Timecourse'!Z39)/$E39/$F39,"")</f>
        <v/>
      </c>
      <c r="O39" s="6">
        <f>IFERROR(('01_Input_Timecourse'!AA39-'01_Input_Timecourse'!AB39)/$E39/$F39,"")</f>
        <v/>
      </c>
      <c r="P39" s="6">
        <f>IFERROR(('01_Input_Timecourse'!AC39-'01_Input_Timecourse'!AD39)/$E39/$F39,"")</f>
        <v/>
      </c>
      <c r="Q39" s="6">
        <f>IFERROR(('01_Input_Timecourse'!AE39-'01_Input_Timecourse'!AF39)/$E39/$F39,"")</f>
        <v/>
      </c>
      <c r="R39" s="6">
        <f>IFERROR(('01_Input_Timecourse'!AH39-'01_Input_Timecourse'!AG39)/$E39/$F39,"")</f>
        <v/>
      </c>
      <c r="S39" s="6">
        <f>IFERROR(('01_Input_Timecourse'!AJ39-'01_Input_Timecourse'!AI39)/$E39/$F39,"")</f>
        <v/>
      </c>
      <c r="T39" s="6">
        <f>IFERROR(('01_Input_Timecourse'!AL39-'01_Input_Timecourse'!AK39)/$E39/$F39,"")</f>
        <v/>
      </c>
      <c r="U39" s="6">
        <f>IFERROR(('01_Input_Timecourse'!AN39-'01_Input_Timecourse'!AM39)/$E39/$F39,"")</f>
        <v/>
      </c>
      <c r="V39" s="2">
        <f>IF(A39="","",IF(OR(E39&lt;=0,F39&lt;=0),"Check time/VCD","OK"))</f>
        <v/>
      </c>
    </row>
    <row r="40">
      <c r="A40" s="2">
        <f>'01_Input_Timecourse'!A40</f>
        <v/>
      </c>
      <c r="B40" s="2">
        <f>'01_Input_Timecourse'!B40</f>
        <v/>
      </c>
      <c r="C40" s="2">
        <f>'01_Input_Timecourse'!C40</f>
        <v/>
      </c>
      <c r="D40" s="2">
        <f>'01_Input_Timecourse'!D40</f>
        <v/>
      </c>
      <c r="E40" s="6">
        <f>IFERROR(('01_Input_Timecourse'!F40-'01_Input_Timecourse'!E40)/24,"")</f>
        <v/>
      </c>
      <c r="F40" s="6">
        <f>IFERROR(AVERAGE('01_Input_Timecourse'!G40:H40),"")</f>
        <v/>
      </c>
      <c r="G40" s="6">
        <f>IFERROR(('01_Input_Timecourse'!K40-'01_Input_Timecourse'!L40)/$E40/$F40,"")</f>
        <v/>
      </c>
      <c r="H40" s="6">
        <f>IFERROR(('01_Input_Timecourse'!N40-'01_Input_Timecourse'!M40)/$E40/$F40,"")</f>
        <v/>
      </c>
      <c r="I40" s="6">
        <f>IFERROR(('01_Input_Timecourse'!O40-'01_Input_Timecourse'!P40)/$E40/$F40,"")</f>
        <v/>
      </c>
      <c r="J40" s="6">
        <f>IFERROR(('01_Input_Timecourse'!R40-'01_Input_Timecourse'!Q40)/$E40/$F40,"")</f>
        <v/>
      </c>
      <c r="K40" s="6">
        <f>IFERROR(('01_Input_Timecourse'!T40-'01_Input_Timecourse'!S40)/$E40/$F40,"")</f>
        <v/>
      </c>
      <c r="L40" s="6">
        <f>IFERROR(('01_Input_Timecourse'!U40-'01_Input_Timecourse'!V40)/$E40/$F40,"")</f>
        <v/>
      </c>
      <c r="M40" s="6">
        <f>IFERROR(('01_Input_Timecourse'!W40-'01_Input_Timecourse'!X40)/$E40/$F40,"")</f>
        <v/>
      </c>
      <c r="N40" s="6">
        <f>IFERROR(('01_Input_Timecourse'!Y40-'01_Input_Timecourse'!Z40)/$E40/$F40,"")</f>
        <v/>
      </c>
      <c r="O40" s="6">
        <f>IFERROR(('01_Input_Timecourse'!AA40-'01_Input_Timecourse'!AB40)/$E40/$F40,"")</f>
        <v/>
      </c>
      <c r="P40" s="6">
        <f>IFERROR(('01_Input_Timecourse'!AC40-'01_Input_Timecourse'!AD40)/$E40/$F40,"")</f>
        <v/>
      </c>
      <c r="Q40" s="6">
        <f>IFERROR(('01_Input_Timecourse'!AE40-'01_Input_Timecourse'!AF40)/$E40/$F40,"")</f>
        <v/>
      </c>
      <c r="R40" s="6">
        <f>IFERROR(('01_Input_Timecourse'!AH40-'01_Input_Timecourse'!AG40)/$E40/$F40,"")</f>
        <v/>
      </c>
      <c r="S40" s="6">
        <f>IFERROR(('01_Input_Timecourse'!AJ40-'01_Input_Timecourse'!AI40)/$E40/$F40,"")</f>
        <v/>
      </c>
      <c r="T40" s="6">
        <f>IFERROR(('01_Input_Timecourse'!AL40-'01_Input_Timecourse'!AK40)/$E40/$F40,"")</f>
        <v/>
      </c>
      <c r="U40" s="6">
        <f>IFERROR(('01_Input_Timecourse'!AN40-'01_Input_Timecourse'!AM40)/$E40/$F40,"")</f>
        <v/>
      </c>
      <c r="V40" s="2">
        <f>IF(A40="","",IF(OR(E40&lt;=0,F40&lt;=0),"Check time/VCD","OK"))</f>
        <v/>
      </c>
    </row>
    <row r="41">
      <c r="A41" s="2">
        <f>'01_Input_Timecourse'!A41</f>
        <v/>
      </c>
      <c r="B41" s="2">
        <f>'01_Input_Timecourse'!B41</f>
        <v/>
      </c>
      <c r="C41" s="2">
        <f>'01_Input_Timecourse'!C41</f>
        <v/>
      </c>
      <c r="D41" s="2">
        <f>'01_Input_Timecourse'!D41</f>
        <v/>
      </c>
      <c r="E41" s="6">
        <f>IFERROR(('01_Input_Timecourse'!F41-'01_Input_Timecourse'!E41)/24,"")</f>
        <v/>
      </c>
      <c r="F41" s="6">
        <f>IFERROR(AVERAGE('01_Input_Timecourse'!G41:H41),"")</f>
        <v/>
      </c>
      <c r="G41" s="6">
        <f>IFERROR(('01_Input_Timecourse'!K41-'01_Input_Timecourse'!L41)/$E41/$F41,"")</f>
        <v/>
      </c>
      <c r="H41" s="6">
        <f>IFERROR(('01_Input_Timecourse'!N41-'01_Input_Timecourse'!M41)/$E41/$F41,"")</f>
        <v/>
      </c>
      <c r="I41" s="6">
        <f>IFERROR(('01_Input_Timecourse'!O41-'01_Input_Timecourse'!P41)/$E41/$F41,"")</f>
        <v/>
      </c>
      <c r="J41" s="6">
        <f>IFERROR(('01_Input_Timecourse'!R41-'01_Input_Timecourse'!Q41)/$E41/$F41,"")</f>
        <v/>
      </c>
      <c r="K41" s="6">
        <f>IFERROR(('01_Input_Timecourse'!T41-'01_Input_Timecourse'!S41)/$E41/$F41,"")</f>
        <v/>
      </c>
      <c r="L41" s="6">
        <f>IFERROR(('01_Input_Timecourse'!U41-'01_Input_Timecourse'!V41)/$E41/$F41,"")</f>
        <v/>
      </c>
      <c r="M41" s="6">
        <f>IFERROR(('01_Input_Timecourse'!W41-'01_Input_Timecourse'!X41)/$E41/$F41,"")</f>
        <v/>
      </c>
      <c r="N41" s="6">
        <f>IFERROR(('01_Input_Timecourse'!Y41-'01_Input_Timecourse'!Z41)/$E41/$F41,"")</f>
        <v/>
      </c>
      <c r="O41" s="6">
        <f>IFERROR(('01_Input_Timecourse'!AA41-'01_Input_Timecourse'!AB41)/$E41/$F41,"")</f>
        <v/>
      </c>
      <c r="P41" s="6">
        <f>IFERROR(('01_Input_Timecourse'!AC41-'01_Input_Timecourse'!AD41)/$E41/$F41,"")</f>
        <v/>
      </c>
      <c r="Q41" s="6">
        <f>IFERROR(('01_Input_Timecourse'!AE41-'01_Input_Timecourse'!AF41)/$E41/$F41,"")</f>
        <v/>
      </c>
      <c r="R41" s="6">
        <f>IFERROR(('01_Input_Timecourse'!AH41-'01_Input_Timecourse'!AG41)/$E41/$F41,"")</f>
        <v/>
      </c>
      <c r="S41" s="6">
        <f>IFERROR(('01_Input_Timecourse'!AJ41-'01_Input_Timecourse'!AI41)/$E41/$F41,"")</f>
        <v/>
      </c>
      <c r="T41" s="6">
        <f>IFERROR(('01_Input_Timecourse'!AL41-'01_Input_Timecourse'!AK41)/$E41/$F41,"")</f>
        <v/>
      </c>
      <c r="U41" s="6">
        <f>IFERROR(('01_Input_Timecourse'!AN41-'01_Input_Timecourse'!AM41)/$E41/$F41,"")</f>
        <v/>
      </c>
      <c r="V41" s="2">
        <f>IF(A41="","",IF(OR(E41&lt;=0,F41&lt;=0),"Check time/VCD","OK"))</f>
        <v/>
      </c>
    </row>
    <row r="42">
      <c r="A42" s="2">
        <f>'01_Input_Timecourse'!A42</f>
        <v/>
      </c>
      <c r="B42" s="2">
        <f>'01_Input_Timecourse'!B42</f>
        <v/>
      </c>
      <c r="C42" s="2">
        <f>'01_Input_Timecourse'!C42</f>
        <v/>
      </c>
      <c r="D42" s="2">
        <f>'01_Input_Timecourse'!D42</f>
        <v/>
      </c>
      <c r="E42" s="6">
        <f>IFERROR(('01_Input_Timecourse'!F42-'01_Input_Timecourse'!E42)/24,"")</f>
        <v/>
      </c>
      <c r="F42" s="6">
        <f>IFERROR(AVERAGE('01_Input_Timecourse'!G42:H42),"")</f>
        <v/>
      </c>
      <c r="G42" s="6">
        <f>IFERROR(('01_Input_Timecourse'!K42-'01_Input_Timecourse'!L42)/$E42/$F42,"")</f>
        <v/>
      </c>
      <c r="H42" s="6">
        <f>IFERROR(('01_Input_Timecourse'!N42-'01_Input_Timecourse'!M42)/$E42/$F42,"")</f>
        <v/>
      </c>
      <c r="I42" s="6">
        <f>IFERROR(('01_Input_Timecourse'!O42-'01_Input_Timecourse'!P42)/$E42/$F42,"")</f>
        <v/>
      </c>
      <c r="J42" s="6">
        <f>IFERROR(('01_Input_Timecourse'!R42-'01_Input_Timecourse'!Q42)/$E42/$F42,"")</f>
        <v/>
      </c>
      <c r="K42" s="6">
        <f>IFERROR(('01_Input_Timecourse'!T42-'01_Input_Timecourse'!S42)/$E42/$F42,"")</f>
        <v/>
      </c>
      <c r="L42" s="6">
        <f>IFERROR(('01_Input_Timecourse'!U42-'01_Input_Timecourse'!V42)/$E42/$F42,"")</f>
        <v/>
      </c>
      <c r="M42" s="6">
        <f>IFERROR(('01_Input_Timecourse'!W42-'01_Input_Timecourse'!X42)/$E42/$F42,"")</f>
        <v/>
      </c>
      <c r="N42" s="6">
        <f>IFERROR(('01_Input_Timecourse'!Y42-'01_Input_Timecourse'!Z42)/$E42/$F42,"")</f>
        <v/>
      </c>
      <c r="O42" s="6">
        <f>IFERROR(('01_Input_Timecourse'!AA42-'01_Input_Timecourse'!AB42)/$E42/$F42,"")</f>
        <v/>
      </c>
      <c r="P42" s="6">
        <f>IFERROR(('01_Input_Timecourse'!AC42-'01_Input_Timecourse'!AD42)/$E42/$F42,"")</f>
        <v/>
      </c>
      <c r="Q42" s="6">
        <f>IFERROR(('01_Input_Timecourse'!AE42-'01_Input_Timecourse'!AF42)/$E42/$F42,"")</f>
        <v/>
      </c>
      <c r="R42" s="6">
        <f>IFERROR(('01_Input_Timecourse'!AH42-'01_Input_Timecourse'!AG42)/$E42/$F42,"")</f>
        <v/>
      </c>
      <c r="S42" s="6">
        <f>IFERROR(('01_Input_Timecourse'!AJ42-'01_Input_Timecourse'!AI42)/$E42/$F42,"")</f>
        <v/>
      </c>
      <c r="T42" s="6">
        <f>IFERROR(('01_Input_Timecourse'!AL42-'01_Input_Timecourse'!AK42)/$E42/$F42,"")</f>
        <v/>
      </c>
      <c r="U42" s="6">
        <f>IFERROR(('01_Input_Timecourse'!AN42-'01_Input_Timecourse'!AM42)/$E42/$F42,"")</f>
        <v/>
      </c>
      <c r="V42" s="2">
        <f>IF(A42="","",IF(OR(E42&lt;=0,F42&lt;=0),"Check time/VCD","OK"))</f>
        <v/>
      </c>
    </row>
    <row r="43">
      <c r="A43" s="2">
        <f>'01_Input_Timecourse'!A43</f>
        <v/>
      </c>
      <c r="B43" s="2">
        <f>'01_Input_Timecourse'!B43</f>
        <v/>
      </c>
      <c r="C43" s="2">
        <f>'01_Input_Timecourse'!C43</f>
        <v/>
      </c>
      <c r="D43" s="2">
        <f>'01_Input_Timecourse'!D43</f>
        <v/>
      </c>
      <c r="E43" s="6">
        <f>IFERROR(('01_Input_Timecourse'!F43-'01_Input_Timecourse'!E43)/24,"")</f>
        <v/>
      </c>
      <c r="F43" s="6">
        <f>IFERROR(AVERAGE('01_Input_Timecourse'!G43:H43),"")</f>
        <v/>
      </c>
      <c r="G43" s="6">
        <f>IFERROR(('01_Input_Timecourse'!K43-'01_Input_Timecourse'!L43)/$E43/$F43,"")</f>
        <v/>
      </c>
      <c r="H43" s="6">
        <f>IFERROR(('01_Input_Timecourse'!N43-'01_Input_Timecourse'!M43)/$E43/$F43,"")</f>
        <v/>
      </c>
      <c r="I43" s="6">
        <f>IFERROR(('01_Input_Timecourse'!O43-'01_Input_Timecourse'!P43)/$E43/$F43,"")</f>
        <v/>
      </c>
      <c r="J43" s="6">
        <f>IFERROR(('01_Input_Timecourse'!R43-'01_Input_Timecourse'!Q43)/$E43/$F43,"")</f>
        <v/>
      </c>
      <c r="K43" s="6">
        <f>IFERROR(('01_Input_Timecourse'!T43-'01_Input_Timecourse'!S43)/$E43/$F43,"")</f>
        <v/>
      </c>
      <c r="L43" s="6">
        <f>IFERROR(('01_Input_Timecourse'!U43-'01_Input_Timecourse'!V43)/$E43/$F43,"")</f>
        <v/>
      </c>
      <c r="M43" s="6">
        <f>IFERROR(('01_Input_Timecourse'!W43-'01_Input_Timecourse'!X43)/$E43/$F43,"")</f>
        <v/>
      </c>
      <c r="N43" s="6">
        <f>IFERROR(('01_Input_Timecourse'!Y43-'01_Input_Timecourse'!Z43)/$E43/$F43,"")</f>
        <v/>
      </c>
      <c r="O43" s="6">
        <f>IFERROR(('01_Input_Timecourse'!AA43-'01_Input_Timecourse'!AB43)/$E43/$F43,"")</f>
        <v/>
      </c>
      <c r="P43" s="6">
        <f>IFERROR(('01_Input_Timecourse'!AC43-'01_Input_Timecourse'!AD43)/$E43/$F43,"")</f>
        <v/>
      </c>
      <c r="Q43" s="6">
        <f>IFERROR(('01_Input_Timecourse'!AE43-'01_Input_Timecourse'!AF43)/$E43/$F43,"")</f>
        <v/>
      </c>
      <c r="R43" s="6">
        <f>IFERROR(('01_Input_Timecourse'!AH43-'01_Input_Timecourse'!AG43)/$E43/$F43,"")</f>
        <v/>
      </c>
      <c r="S43" s="6">
        <f>IFERROR(('01_Input_Timecourse'!AJ43-'01_Input_Timecourse'!AI43)/$E43/$F43,"")</f>
        <v/>
      </c>
      <c r="T43" s="6">
        <f>IFERROR(('01_Input_Timecourse'!AL43-'01_Input_Timecourse'!AK43)/$E43/$F43,"")</f>
        <v/>
      </c>
      <c r="U43" s="6">
        <f>IFERROR(('01_Input_Timecourse'!AN43-'01_Input_Timecourse'!AM43)/$E43/$F43,"")</f>
        <v/>
      </c>
      <c r="V43" s="2">
        <f>IF(A43="","",IF(OR(E43&lt;=0,F43&lt;=0),"Check time/VCD","OK"))</f>
        <v/>
      </c>
    </row>
    <row r="44">
      <c r="A44" s="2">
        <f>'01_Input_Timecourse'!A44</f>
        <v/>
      </c>
      <c r="B44" s="2">
        <f>'01_Input_Timecourse'!B44</f>
        <v/>
      </c>
      <c r="C44" s="2">
        <f>'01_Input_Timecourse'!C44</f>
        <v/>
      </c>
      <c r="D44" s="2">
        <f>'01_Input_Timecourse'!D44</f>
        <v/>
      </c>
      <c r="E44" s="6">
        <f>IFERROR(('01_Input_Timecourse'!F44-'01_Input_Timecourse'!E44)/24,"")</f>
        <v/>
      </c>
      <c r="F44" s="6">
        <f>IFERROR(AVERAGE('01_Input_Timecourse'!G44:H44),"")</f>
        <v/>
      </c>
      <c r="G44" s="6">
        <f>IFERROR(('01_Input_Timecourse'!K44-'01_Input_Timecourse'!L44)/$E44/$F44,"")</f>
        <v/>
      </c>
      <c r="H44" s="6">
        <f>IFERROR(('01_Input_Timecourse'!N44-'01_Input_Timecourse'!M44)/$E44/$F44,"")</f>
        <v/>
      </c>
      <c r="I44" s="6">
        <f>IFERROR(('01_Input_Timecourse'!O44-'01_Input_Timecourse'!P44)/$E44/$F44,"")</f>
        <v/>
      </c>
      <c r="J44" s="6">
        <f>IFERROR(('01_Input_Timecourse'!R44-'01_Input_Timecourse'!Q44)/$E44/$F44,"")</f>
        <v/>
      </c>
      <c r="K44" s="6">
        <f>IFERROR(('01_Input_Timecourse'!T44-'01_Input_Timecourse'!S44)/$E44/$F44,"")</f>
        <v/>
      </c>
      <c r="L44" s="6">
        <f>IFERROR(('01_Input_Timecourse'!U44-'01_Input_Timecourse'!V44)/$E44/$F44,"")</f>
        <v/>
      </c>
      <c r="M44" s="6">
        <f>IFERROR(('01_Input_Timecourse'!W44-'01_Input_Timecourse'!X44)/$E44/$F44,"")</f>
        <v/>
      </c>
      <c r="N44" s="6">
        <f>IFERROR(('01_Input_Timecourse'!Y44-'01_Input_Timecourse'!Z44)/$E44/$F44,"")</f>
        <v/>
      </c>
      <c r="O44" s="6">
        <f>IFERROR(('01_Input_Timecourse'!AA44-'01_Input_Timecourse'!AB44)/$E44/$F44,"")</f>
        <v/>
      </c>
      <c r="P44" s="6">
        <f>IFERROR(('01_Input_Timecourse'!AC44-'01_Input_Timecourse'!AD44)/$E44/$F44,"")</f>
        <v/>
      </c>
      <c r="Q44" s="6">
        <f>IFERROR(('01_Input_Timecourse'!AE44-'01_Input_Timecourse'!AF44)/$E44/$F44,"")</f>
        <v/>
      </c>
      <c r="R44" s="6">
        <f>IFERROR(('01_Input_Timecourse'!AH44-'01_Input_Timecourse'!AG44)/$E44/$F44,"")</f>
        <v/>
      </c>
      <c r="S44" s="6">
        <f>IFERROR(('01_Input_Timecourse'!AJ44-'01_Input_Timecourse'!AI44)/$E44/$F44,"")</f>
        <v/>
      </c>
      <c r="T44" s="6">
        <f>IFERROR(('01_Input_Timecourse'!AL44-'01_Input_Timecourse'!AK44)/$E44/$F44,"")</f>
        <v/>
      </c>
      <c r="U44" s="6">
        <f>IFERROR(('01_Input_Timecourse'!AN44-'01_Input_Timecourse'!AM44)/$E44/$F44,"")</f>
        <v/>
      </c>
      <c r="V44" s="2">
        <f>IF(A44="","",IF(OR(E44&lt;=0,F44&lt;=0),"Check time/VCD","OK"))</f>
        <v/>
      </c>
    </row>
    <row r="45">
      <c r="A45" s="2">
        <f>'01_Input_Timecourse'!A45</f>
        <v/>
      </c>
      <c r="B45" s="2">
        <f>'01_Input_Timecourse'!B45</f>
        <v/>
      </c>
      <c r="C45" s="2">
        <f>'01_Input_Timecourse'!C45</f>
        <v/>
      </c>
      <c r="D45" s="2">
        <f>'01_Input_Timecourse'!D45</f>
        <v/>
      </c>
      <c r="E45" s="6">
        <f>IFERROR(('01_Input_Timecourse'!F45-'01_Input_Timecourse'!E45)/24,"")</f>
        <v/>
      </c>
      <c r="F45" s="6">
        <f>IFERROR(AVERAGE('01_Input_Timecourse'!G45:H45),"")</f>
        <v/>
      </c>
      <c r="G45" s="6">
        <f>IFERROR(('01_Input_Timecourse'!K45-'01_Input_Timecourse'!L45)/$E45/$F45,"")</f>
        <v/>
      </c>
      <c r="H45" s="6">
        <f>IFERROR(('01_Input_Timecourse'!N45-'01_Input_Timecourse'!M45)/$E45/$F45,"")</f>
        <v/>
      </c>
      <c r="I45" s="6">
        <f>IFERROR(('01_Input_Timecourse'!O45-'01_Input_Timecourse'!P45)/$E45/$F45,"")</f>
        <v/>
      </c>
      <c r="J45" s="6">
        <f>IFERROR(('01_Input_Timecourse'!R45-'01_Input_Timecourse'!Q45)/$E45/$F45,"")</f>
        <v/>
      </c>
      <c r="K45" s="6">
        <f>IFERROR(('01_Input_Timecourse'!T45-'01_Input_Timecourse'!S45)/$E45/$F45,"")</f>
        <v/>
      </c>
      <c r="L45" s="6">
        <f>IFERROR(('01_Input_Timecourse'!U45-'01_Input_Timecourse'!V45)/$E45/$F45,"")</f>
        <v/>
      </c>
      <c r="M45" s="6">
        <f>IFERROR(('01_Input_Timecourse'!W45-'01_Input_Timecourse'!X45)/$E45/$F45,"")</f>
        <v/>
      </c>
      <c r="N45" s="6">
        <f>IFERROR(('01_Input_Timecourse'!Y45-'01_Input_Timecourse'!Z45)/$E45/$F45,"")</f>
        <v/>
      </c>
      <c r="O45" s="6">
        <f>IFERROR(('01_Input_Timecourse'!AA45-'01_Input_Timecourse'!AB45)/$E45/$F45,"")</f>
        <v/>
      </c>
      <c r="P45" s="6">
        <f>IFERROR(('01_Input_Timecourse'!AC45-'01_Input_Timecourse'!AD45)/$E45/$F45,"")</f>
        <v/>
      </c>
      <c r="Q45" s="6">
        <f>IFERROR(('01_Input_Timecourse'!AE45-'01_Input_Timecourse'!AF45)/$E45/$F45,"")</f>
        <v/>
      </c>
      <c r="R45" s="6">
        <f>IFERROR(('01_Input_Timecourse'!AH45-'01_Input_Timecourse'!AG45)/$E45/$F45,"")</f>
        <v/>
      </c>
      <c r="S45" s="6">
        <f>IFERROR(('01_Input_Timecourse'!AJ45-'01_Input_Timecourse'!AI45)/$E45/$F45,"")</f>
        <v/>
      </c>
      <c r="T45" s="6">
        <f>IFERROR(('01_Input_Timecourse'!AL45-'01_Input_Timecourse'!AK45)/$E45/$F45,"")</f>
        <v/>
      </c>
      <c r="U45" s="6">
        <f>IFERROR(('01_Input_Timecourse'!AN45-'01_Input_Timecourse'!AM45)/$E45/$F45,"")</f>
        <v/>
      </c>
      <c r="V45" s="2">
        <f>IF(A45="","",IF(OR(E45&lt;=0,F45&lt;=0),"Check time/VCD","OK"))</f>
        <v/>
      </c>
    </row>
    <row r="46">
      <c r="A46" s="2">
        <f>'01_Input_Timecourse'!A46</f>
        <v/>
      </c>
      <c r="B46" s="2">
        <f>'01_Input_Timecourse'!B46</f>
        <v/>
      </c>
      <c r="C46" s="2">
        <f>'01_Input_Timecourse'!C46</f>
        <v/>
      </c>
      <c r="D46" s="2">
        <f>'01_Input_Timecourse'!D46</f>
        <v/>
      </c>
      <c r="E46" s="6">
        <f>IFERROR(('01_Input_Timecourse'!F46-'01_Input_Timecourse'!E46)/24,"")</f>
        <v/>
      </c>
      <c r="F46" s="6">
        <f>IFERROR(AVERAGE('01_Input_Timecourse'!G46:H46),"")</f>
        <v/>
      </c>
      <c r="G46" s="6">
        <f>IFERROR(('01_Input_Timecourse'!K46-'01_Input_Timecourse'!L46)/$E46/$F46,"")</f>
        <v/>
      </c>
      <c r="H46" s="6">
        <f>IFERROR(('01_Input_Timecourse'!N46-'01_Input_Timecourse'!M46)/$E46/$F46,"")</f>
        <v/>
      </c>
      <c r="I46" s="6">
        <f>IFERROR(('01_Input_Timecourse'!O46-'01_Input_Timecourse'!P46)/$E46/$F46,"")</f>
        <v/>
      </c>
      <c r="J46" s="6">
        <f>IFERROR(('01_Input_Timecourse'!R46-'01_Input_Timecourse'!Q46)/$E46/$F46,"")</f>
        <v/>
      </c>
      <c r="K46" s="6">
        <f>IFERROR(('01_Input_Timecourse'!T46-'01_Input_Timecourse'!S46)/$E46/$F46,"")</f>
        <v/>
      </c>
      <c r="L46" s="6">
        <f>IFERROR(('01_Input_Timecourse'!U46-'01_Input_Timecourse'!V46)/$E46/$F46,"")</f>
        <v/>
      </c>
      <c r="M46" s="6">
        <f>IFERROR(('01_Input_Timecourse'!W46-'01_Input_Timecourse'!X46)/$E46/$F46,"")</f>
        <v/>
      </c>
      <c r="N46" s="6">
        <f>IFERROR(('01_Input_Timecourse'!Y46-'01_Input_Timecourse'!Z46)/$E46/$F46,"")</f>
        <v/>
      </c>
      <c r="O46" s="6">
        <f>IFERROR(('01_Input_Timecourse'!AA46-'01_Input_Timecourse'!AB46)/$E46/$F46,"")</f>
        <v/>
      </c>
      <c r="P46" s="6">
        <f>IFERROR(('01_Input_Timecourse'!AC46-'01_Input_Timecourse'!AD46)/$E46/$F46,"")</f>
        <v/>
      </c>
      <c r="Q46" s="6">
        <f>IFERROR(('01_Input_Timecourse'!AE46-'01_Input_Timecourse'!AF46)/$E46/$F46,"")</f>
        <v/>
      </c>
      <c r="R46" s="6">
        <f>IFERROR(('01_Input_Timecourse'!AH46-'01_Input_Timecourse'!AG46)/$E46/$F46,"")</f>
        <v/>
      </c>
      <c r="S46" s="6">
        <f>IFERROR(('01_Input_Timecourse'!AJ46-'01_Input_Timecourse'!AI46)/$E46/$F46,"")</f>
        <v/>
      </c>
      <c r="T46" s="6">
        <f>IFERROR(('01_Input_Timecourse'!AL46-'01_Input_Timecourse'!AK46)/$E46/$F46,"")</f>
        <v/>
      </c>
      <c r="U46" s="6">
        <f>IFERROR(('01_Input_Timecourse'!AN46-'01_Input_Timecourse'!AM46)/$E46/$F46,"")</f>
        <v/>
      </c>
      <c r="V46" s="2">
        <f>IF(A46="","",IF(OR(E46&lt;=0,F46&lt;=0),"Check time/VCD","OK"))</f>
        <v/>
      </c>
    </row>
    <row r="47">
      <c r="A47" s="2">
        <f>'01_Input_Timecourse'!A47</f>
        <v/>
      </c>
      <c r="B47" s="2">
        <f>'01_Input_Timecourse'!B47</f>
        <v/>
      </c>
      <c r="C47" s="2">
        <f>'01_Input_Timecourse'!C47</f>
        <v/>
      </c>
      <c r="D47" s="2">
        <f>'01_Input_Timecourse'!D47</f>
        <v/>
      </c>
      <c r="E47" s="6">
        <f>IFERROR(('01_Input_Timecourse'!F47-'01_Input_Timecourse'!E47)/24,"")</f>
        <v/>
      </c>
      <c r="F47" s="6">
        <f>IFERROR(AVERAGE('01_Input_Timecourse'!G47:H47),"")</f>
        <v/>
      </c>
      <c r="G47" s="6">
        <f>IFERROR(('01_Input_Timecourse'!K47-'01_Input_Timecourse'!L47)/$E47/$F47,"")</f>
        <v/>
      </c>
      <c r="H47" s="6">
        <f>IFERROR(('01_Input_Timecourse'!N47-'01_Input_Timecourse'!M47)/$E47/$F47,"")</f>
        <v/>
      </c>
      <c r="I47" s="6">
        <f>IFERROR(('01_Input_Timecourse'!O47-'01_Input_Timecourse'!P47)/$E47/$F47,"")</f>
        <v/>
      </c>
      <c r="J47" s="6">
        <f>IFERROR(('01_Input_Timecourse'!R47-'01_Input_Timecourse'!Q47)/$E47/$F47,"")</f>
        <v/>
      </c>
      <c r="K47" s="6">
        <f>IFERROR(('01_Input_Timecourse'!T47-'01_Input_Timecourse'!S47)/$E47/$F47,"")</f>
        <v/>
      </c>
      <c r="L47" s="6">
        <f>IFERROR(('01_Input_Timecourse'!U47-'01_Input_Timecourse'!V47)/$E47/$F47,"")</f>
        <v/>
      </c>
      <c r="M47" s="6">
        <f>IFERROR(('01_Input_Timecourse'!W47-'01_Input_Timecourse'!X47)/$E47/$F47,"")</f>
        <v/>
      </c>
      <c r="N47" s="6">
        <f>IFERROR(('01_Input_Timecourse'!Y47-'01_Input_Timecourse'!Z47)/$E47/$F47,"")</f>
        <v/>
      </c>
      <c r="O47" s="6">
        <f>IFERROR(('01_Input_Timecourse'!AA47-'01_Input_Timecourse'!AB47)/$E47/$F47,"")</f>
        <v/>
      </c>
      <c r="P47" s="6">
        <f>IFERROR(('01_Input_Timecourse'!AC47-'01_Input_Timecourse'!AD47)/$E47/$F47,"")</f>
        <v/>
      </c>
      <c r="Q47" s="6">
        <f>IFERROR(('01_Input_Timecourse'!AE47-'01_Input_Timecourse'!AF47)/$E47/$F47,"")</f>
        <v/>
      </c>
      <c r="R47" s="6">
        <f>IFERROR(('01_Input_Timecourse'!AH47-'01_Input_Timecourse'!AG47)/$E47/$F47,"")</f>
        <v/>
      </c>
      <c r="S47" s="6">
        <f>IFERROR(('01_Input_Timecourse'!AJ47-'01_Input_Timecourse'!AI47)/$E47/$F47,"")</f>
        <v/>
      </c>
      <c r="T47" s="6">
        <f>IFERROR(('01_Input_Timecourse'!AL47-'01_Input_Timecourse'!AK47)/$E47/$F47,"")</f>
        <v/>
      </c>
      <c r="U47" s="6">
        <f>IFERROR(('01_Input_Timecourse'!AN47-'01_Input_Timecourse'!AM47)/$E47/$F47,"")</f>
        <v/>
      </c>
      <c r="V47" s="2">
        <f>IF(A47="","",IF(OR(E47&lt;=0,F47&lt;=0),"Check time/VCD","OK"))</f>
        <v/>
      </c>
    </row>
    <row r="48">
      <c r="A48" s="2">
        <f>'01_Input_Timecourse'!A48</f>
        <v/>
      </c>
      <c r="B48" s="2">
        <f>'01_Input_Timecourse'!B48</f>
        <v/>
      </c>
      <c r="C48" s="2">
        <f>'01_Input_Timecourse'!C48</f>
        <v/>
      </c>
      <c r="D48" s="2">
        <f>'01_Input_Timecourse'!D48</f>
        <v/>
      </c>
      <c r="E48" s="6">
        <f>IFERROR(('01_Input_Timecourse'!F48-'01_Input_Timecourse'!E48)/24,"")</f>
        <v/>
      </c>
      <c r="F48" s="6">
        <f>IFERROR(AVERAGE('01_Input_Timecourse'!G48:H48),"")</f>
        <v/>
      </c>
      <c r="G48" s="6">
        <f>IFERROR(('01_Input_Timecourse'!K48-'01_Input_Timecourse'!L48)/$E48/$F48,"")</f>
        <v/>
      </c>
      <c r="H48" s="6">
        <f>IFERROR(('01_Input_Timecourse'!N48-'01_Input_Timecourse'!M48)/$E48/$F48,"")</f>
        <v/>
      </c>
      <c r="I48" s="6">
        <f>IFERROR(('01_Input_Timecourse'!O48-'01_Input_Timecourse'!P48)/$E48/$F48,"")</f>
        <v/>
      </c>
      <c r="J48" s="6">
        <f>IFERROR(('01_Input_Timecourse'!R48-'01_Input_Timecourse'!Q48)/$E48/$F48,"")</f>
        <v/>
      </c>
      <c r="K48" s="6">
        <f>IFERROR(('01_Input_Timecourse'!T48-'01_Input_Timecourse'!S48)/$E48/$F48,"")</f>
        <v/>
      </c>
      <c r="L48" s="6">
        <f>IFERROR(('01_Input_Timecourse'!U48-'01_Input_Timecourse'!V48)/$E48/$F48,"")</f>
        <v/>
      </c>
      <c r="M48" s="6">
        <f>IFERROR(('01_Input_Timecourse'!W48-'01_Input_Timecourse'!X48)/$E48/$F48,"")</f>
        <v/>
      </c>
      <c r="N48" s="6">
        <f>IFERROR(('01_Input_Timecourse'!Y48-'01_Input_Timecourse'!Z48)/$E48/$F48,"")</f>
        <v/>
      </c>
      <c r="O48" s="6">
        <f>IFERROR(('01_Input_Timecourse'!AA48-'01_Input_Timecourse'!AB48)/$E48/$F48,"")</f>
        <v/>
      </c>
      <c r="P48" s="6">
        <f>IFERROR(('01_Input_Timecourse'!AC48-'01_Input_Timecourse'!AD48)/$E48/$F48,"")</f>
        <v/>
      </c>
      <c r="Q48" s="6">
        <f>IFERROR(('01_Input_Timecourse'!AE48-'01_Input_Timecourse'!AF48)/$E48/$F48,"")</f>
        <v/>
      </c>
      <c r="R48" s="6">
        <f>IFERROR(('01_Input_Timecourse'!AH48-'01_Input_Timecourse'!AG48)/$E48/$F48,"")</f>
        <v/>
      </c>
      <c r="S48" s="6">
        <f>IFERROR(('01_Input_Timecourse'!AJ48-'01_Input_Timecourse'!AI48)/$E48/$F48,"")</f>
        <v/>
      </c>
      <c r="T48" s="6">
        <f>IFERROR(('01_Input_Timecourse'!AL48-'01_Input_Timecourse'!AK48)/$E48/$F48,"")</f>
        <v/>
      </c>
      <c r="U48" s="6">
        <f>IFERROR(('01_Input_Timecourse'!AN48-'01_Input_Timecourse'!AM48)/$E48/$F48,"")</f>
        <v/>
      </c>
      <c r="V48" s="2">
        <f>IF(A48="","",IF(OR(E48&lt;=0,F48&lt;=0),"Check time/VCD","OK"))</f>
        <v/>
      </c>
    </row>
    <row r="49">
      <c r="A49" s="2">
        <f>'01_Input_Timecourse'!A49</f>
        <v/>
      </c>
      <c r="B49" s="2">
        <f>'01_Input_Timecourse'!B49</f>
        <v/>
      </c>
      <c r="C49" s="2">
        <f>'01_Input_Timecourse'!C49</f>
        <v/>
      </c>
      <c r="D49" s="2">
        <f>'01_Input_Timecourse'!D49</f>
        <v/>
      </c>
      <c r="E49" s="6">
        <f>IFERROR(('01_Input_Timecourse'!F49-'01_Input_Timecourse'!E49)/24,"")</f>
        <v/>
      </c>
      <c r="F49" s="6">
        <f>IFERROR(AVERAGE('01_Input_Timecourse'!G49:H49),"")</f>
        <v/>
      </c>
      <c r="G49" s="6">
        <f>IFERROR(('01_Input_Timecourse'!K49-'01_Input_Timecourse'!L49)/$E49/$F49,"")</f>
        <v/>
      </c>
      <c r="H49" s="6">
        <f>IFERROR(('01_Input_Timecourse'!N49-'01_Input_Timecourse'!M49)/$E49/$F49,"")</f>
        <v/>
      </c>
      <c r="I49" s="6">
        <f>IFERROR(('01_Input_Timecourse'!O49-'01_Input_Timecourse'!P49)/$E49/$F49,"")</f>
        <v/>
      </c>
      <c r="J49" s="6">
        <f>IFERROR(('01_Input_Timecourse'!R49-'01_Input_Timecourse'!Q49)/$E49/$F49,"")</f>
        <v/>
      </c>
      <c r="K49" s="6">
        <f>IFERROR(('01_Input_Timecourse'!T49-'01_Input_Timecourse'!S49)/$E49/$F49,"")</f>
        <v/>
      </c>
      <c r="L49" s="6">
        <f>IFERROR(('01_Input_Timecourse'!U49-'01_Input_Timecourse'!V49)/$E49/$F49,"")</f>
        <v/>
      </c>
      <c r="M49" s="6">
        <f>IFERROR(('01_Input_Timecourse'!W49-'01_Input_Timecourse'!X49)/$E49/$F49,"")</f>
        <v/>
      </c>
      <c r="N49" s="6">
        <f>IFERROR(('01_Input_Timecourse'!Y49-'01_Input_Timecourse'!Z49)/$E49/$F49,"")</f>
        <v/>
      </c>
      <c r="O49" s="6">
        <f>IFERROR(('01_Input_Timecourse'!AA49-'01_Input_Timecourse'!AB49)/$E49/$F49,"")</f>
        <v/>
      </c>
      <c r="P49" s="6">
        <f>IFERROR(('01_Input_Timecourse'!AC49-'01_Input_Timecourse'!AD49)/$E49/$F49,"")</f>
        <v/>
      </c>
      <c r="Q49" s="6">
        <f>IFERROR(('01_Input_Timecourse'!AE49-'01_Input_Timecourse'!AF49)/$E49/$F49,"")</f>
        <v/>
      </c>
      <c r="R49" s="6">
        <f>IFERROR(('01_Input_Timecourse'!AH49-'01_Input_Timecourse'!AG49)/$E49/$F49,"")</f>
        <v/>
      </c>
      <c r="S49" s="6">
        <f>IFERROR(('01_Input_Timecourse'!AJ49-'01_Input_Timecourse'!AI49)/$E49/$F49,"")</f>
        <v/>
      </c>
      <c r="T49" s="6">
        <f>IFERROR(('01_Input_Timecourse'!AL49-'01_Input_Timecourse'!AK49)/$E49/$F49,"")</f>
        <v/>
      </c>
      <c r="U49" s="6">
        <f>IFERROR(('01_Input_Timecourse'!AN49-'01_Input_Timecourse'!AM49)/$E49/$F49,"")</f>
        <v/>
      </c>
      <c r="V49" s="2">
        <f>IF(A49="","",IF(OR(E49&lt;=0,F49&lt;=0),"Check time/VCD","OK"))</f>
        <v/>
      </c>
    </row>
    <row r="50">
      <c r="A50" s="2">
        <f>'01_Input_Timecourse'!A50</f>
        <v/>
      </c>
      <c r="B50" s="2">
        <f>'01_Input_Timecourse'!B50</f>
        <v/>
      </c>
      <c r="C50" s="2">
        <f>'01_Input_Timecourse'!C50</f>
        <v/>
      </c>
      <c r="D50" s="2">
        <f>'01_Input_Timecourse'!D50</f>
        <v/>
      </c>
      <c r="E50" s="6">
        <f>IFERROR(('01_Input_Timecourse'!F50-'01_Input_Timecourse'!E50)/24,"")</f>
        <v/>
      </c>
      <c r="F50" s="6">
        <f>IFERROR(AVERAGE('01_Input_Timecourse'!G50:H50),"")</f>
        <v/>
      </c>
      <c r="G50" s="6">
        <f>IFERROR(('01_Input_Timecourse'!K50-'01_Input_Timecourse'!L50)/$E50/$F50,"")</f>
        <v/>
      </c>
      <c r="H50" s="6">
        <f>IFERROR(('01_Input_Timecourse'!N50-'01_Input_Timecourse'!M50)/$E50/$F50,"")</f>
        <v/>
      </c>
      <c r="I50" s="6">
        <f>IFERROR(('01_Input_Timecourse'!O50-'01_Input_Timecourse'!P50)/$E50/$F50,"")</f>
        <v/>
      </c>
      <c r="J50" s="6">
        <f>IFERROR(('01_Input_Timecourse'!R50-'01_Input_Timecourse'!Q50)/$E50/$F50,"")</f>
        <v/>
      </c>
      <c r="K50" s="6">
        <f>IFERROR(('01_Input_Timecourse'!T50-'01_Input_Timecourse'!S50)/$E50/$F50,"")</f>
        <v/>
      </c>
      <c r="L50" s="6">
        <f>IFERROR(('01_Input_Timecourse'!U50-'01_Input_Timecourse'!V50)/$E50/$F50,"")</f>
        <v/>
      </c>
      <c r="M50" s="6">
        <f>IFERROR(('01_Input_Timecourse'!W50-'01_Input_Timecourse'!X50)/$E50/$F50,"")</f>
        <v/>
      </c>
      <c r="N50" s="6">
        <f>IFERROR(('01_Input_Timecourse'!Y50-'01_Input_Timecourse'!Z50)/$E50/$F50,"")</f>
        <v/>
      </c>
      <c r="O50" s="6">
        <f>IFERROR(('01_Input_Timecourse'!AA50-'01_Input_Timecourse'!AB50)/$E50/$F50,"")</f>
        <v/>
      </c>
      <c r="P50" s="6">
        <f>IFERROR(('01_Input_Timecourse'!AC50-'01_Input_Timecourse'!AD50)/$E50/$F50,"")</f>
        <v/>
      </c>
      <c r="Q50" s="6">
        <f>IFERROR(('01_Input_Timecourse'!AE50-'01_Input_Timecourse'!AF50)/$E50/$F50,"")</f>
        <v/>
      </c>
      <c r="R50" s="6">
        <f>IFERROR(('01_Input_Timecourse'!AH50-'01_Input_Timecourse'!AG50)/$E50/$F50,"")</f>
        <v/>
      </c>
      <c r="S50" s="6">
        <f>IFERROR(('01_Input_Timecourse'!AJ50-'01_Input_Timecourse'!AI50)/$E50/$F50,"")</f>
        <v/>
      </c>
      <c r="T50" s="6">
        <f>IFERROR(('01_Input_Timecourse'!AL50-'01_Input_Timecourse'!AK50)/$E50/$F50,"")</f>
        <v/>
      </c>
      <c r="U50" s="6">
        <f>IFERROR(('01_Input_Timecourse'!AN50-'01_Input_Timecourse'!AM50)/$E50/$F50,"")</f>
        <v/>
      </c>
      <c r="V50" s="2">
        <f>IF(A50="","",IF(OR(E50&lt;=0,F50&lt;=0),"Check time/VCD","OK"))</f>
        <v/>
      </c>
    </row>
    <row r="51">
      <c r="A51" s="2">
        <f>'01_Input_Timecourse'!A51</f>
        <v/>
      </c>
      <c r="B51" s="2">
        <f>'01_Input_Timecourse'!B51</f>
        <v/>
      </c>
      <c r="C51" s="2">
        <f>'01_Input_Timecourse'!C51</f>
        <v/>
      </c>
      <c r="D51" s="2">
        <f>'01_Input_Timecourse'!D51</f>
        <v/>
      </c>
      <c r="E51" s="6">
        <f>IFERROR(('01_Input_Timecourse'!F51-'01_Input_Timecourse'!E51)/24,"")</f>
        <v/>
      </c>
      <c r="F51" s="6">
        <f>IFERROR(AVERAGE('01_Input_Timecourse'!G51:H51),"")</f>
        <v/>
      </c>
      <c r="G51" s="6">
        <f>IFERROR(('01_Input_Timecourse'!K51-'01_Input_Timecourse'!L51)/$E51/$F51,"")</f>
        <v/>
      </c>
      <c r="H51" s="6">
        <f>IFERROR(('01_Input_Timecourse'!N51-'01_Input_Timecourse'!M51)/$E51/$F51,"")</f>
        <v/>
      </c>
      <c r="I51" s="6">
        <f>IFERROR(('01_Input_Timecourse'!O51-'01_Input_Timecourse'!P51)/$E51/$F51,"")</f>
        <v/>
      </c>
      <c r="J51" s="6">
        <f>IFERROR(('01_Input_Timecourse'!R51-'01_Input_Timecourse'!Q51)/$E51/$F51,"")</f>
        <v/>
      </c>
      <c r="K51" s="6">
        <f>IFERROR(('01_Input_Timecourse'!T51-'01_Input_Timecourse'!S51)/$E51/$F51,"")</f>
        <v/>
      </c>
      <c r="L51" s="6">
        <f>IFERROR(('01_Input_Timecourse'!U51-'01_Input_Timecourse'!V51)/$E51/$F51,"")</f>
        <v/>
      </c>
      <c r="M51" s="6">
        <f>IFERROR(('01_Input_Timecourse'!W51-'01_Input_Timecourse'!X51)/$E51/$F51,"")</f>
        <v/>
      </c>
      <c r="N51" s="6">
        <f>IFERROR(('01_Input_Timecourse'!Y51-'01_Input_Timecourse'!Z51)/$E51/$F51,"")</f>
        <v/>
      </c>
      <c r="O51" s="6">
        <f>IFERROR(('01_Input_Timecourse'!AA51-'01_Input_Timecourse'!AB51)/$E51/$F51,"")</f>
        <v/>
      </c>
      <c r="P51" s="6">
        <f>IFERROR(('01_Input_Timecourse'!AC51-'01_Input_Timecourse'!AD51)/$E51/$F51,"")</f>
        <v/>
      </c>
      <c r="Q51" s="6">
        <f>IFERROR(('01_Input_Timecourse'!AE51-'01_Input_Timecourse'!AF51)/$E51/$F51,"")</f>
        <v/>
      </c>
      <c r="R51" s="6">
        <f>IFERROR(('01_Input_Timecourse'!AH51-'01_Input_Timecourse'!AG51)/$E51/$F51,"")</f>
        <v/>
      </c>
      <c r="S51" s="6">
        <f>IFERROR(('01_Input_Timecourse'!AJ51-'01_Input_Timecourse'!AI51)/$E51/$F51,"")</f>
        <v/>
      </c>
      <c r="T51" s="6">
        <f>IFERROR(('01_Input_Timecourse'!AL51-'01_Input_Timecourse'!AK51)/$E51/$F51,"")</f>
        <v/>
      </c>
      <c r="U51" s="6">
        <f>IFERROR(('01_Input_Timecourse'!AN51-'01_Input_Timecourse'!AM51)/$E51/$F51,"")</f>
        <v/>
      </c>
      <c r="V51" s="2">
        <f>IF(A51="","",IF(OR(E51&lt;=0,F51&lt;=0),"Check time/VCD","OK"))</f>
        <v/>
      </c>
    </row>
    <row r="52">
      <c r="A52" s="2">
        <f>'01_Input_Timecourse'!A52</f>
        <v/>
      </c>
      <c r="B52" s="2">
        <f>'01_Input_Timecourse'!B52</f>
        <v/>
      </c>
      <c r="C52" s="2">
        <f>'01_Input_Timecourse'!C52</f>
        <v/>
      </c>
      <c r="D52" s="2">
        <f>'01_Input_Timecourse'!D52</f>
        <v/>
      </c>
      <c r="E52" s="6">
        <f>IFERROR(('01_Input_Timecourse'!F52-'01_Input_Timecourse'!E52)/24,"")</f>
        <v/>
      </c>
      <c r="F52" s="6">
        <f>IFERROR(AVERAGE('01_Input_Timecourse'!G52:H52),"")</f>
        <v/>
      </c>
      <c r="G52" s="6">
        <f>IFERROR(('01_Input_Timecourse'!K52-'01_Input_Timecourse'!L52)/$E52/$F52,"")</f>
        <v/>
      </c>
      <c r="H52" s="6">
        <f>IFERROR(('01_Input_Timecourse'!N52-'01_Input_Timecourse'!M52)/$E52/$F52,"")</f>
        <v/>
      </c>
      <c r="I52" s="6">
        <f>IFERROR(('01_Input_Timecourse'!O52-'01_Input_Timecourse'!P52)/$E52/$F52,"")</f>
        <v/>
      </c>
      <c r="J52" s="6">
        <f>IFERROR(('01_Input_Timecourse'!R52-'01_Input_Timecourse'!Q52)/$E52/$F52,"")</f>
        <v/>
      </c>
      <c r="K52" s="6">
        <f>IFERROR(('01_Input_Timecourse'!T52-'01_Input_Timecourse'!S52)/$E52/$F52,"")</f>
        <v/>
      </c>
      <c r="L52" s="6">
        <f>IFERROR(('01_Input_Timecourse'!U52-'01_Input_Timecourse'!V52)/$E52/$F52,"")</f>
        <v/>
      </c>
      <c r="M52" s="6">
        <f>IFERROR(('01_Input_Timecourse'!W52-'01_Input_Timecourse'!X52)/$E52/$F52,"")</f>
        <v/>
      </c>
      <c r="N52" s="6">
        <f>IFERROR(('01_Input_Timecourse'!Y52-'01_Input_Timecourse'!Z52)/$E52/$F52,"")</f>
        <v/>
      </c>
      <c r="O52" s="6">
        <f>IFERROR(('01_Input_Timecourse'!AA52-'01_Input_Timecourse'!AB52)/$E52/$F52,"")</f>
        <v/>
      </c>
      <c r="P52" s="6">
        <f>IFERROR(('01_Input_Timecourse'!AC52-'01_Input_Timecourse'!AD52)/$E52/$F52,"")</f>
        <v/>
      </c>
      <c r="Q52" s="6">
        <f>IFERROR(('01_Input_Timecourse'!AE52-'01_Input_Timecourse'!AF52)/$E52/$F52,"")</f>
        <v/>
      </c>
      <c r="R52" s="6">
        <f>IFERROR(('01_Input_Timecourse'!AH52-'01_Input_Timecourse'!AG52)/$E52/$F52,"")</f>
        <v/>
      </c>
      <c r="S52" s="6">
        <f>IFERROR(('01_Input_Timecourse'!AJ52-'01_Input_Timecourse'!AI52)/$E52/$F52,"")</f>
        <v/>
      </c>
      <c r="T52" s="6">
        <f>IFERROR(('01_Input_Timecourse'!AL52-'01_Input_Timecourse'!AK52)/$E52/$F52,"")</f>
        <v/>
      </c>
      <c r="U52" s="6">
        <f>IFERROR(('01_Input_Timecourse'!AN52-'01_Input_Timecourse'!AM52)/$E52/$F52,"")</f>
        <v/>
      </c>
      <c r="V52" s="2">
        <f>IF(A52="","",IF(OR(E52&lt;=0,F52&lt;=0),"Check time/VCD","OK"))</f>
        <v/>
      </c>
    </row>
    <row r="53">
      <c r="A53" s="2">
        <f>'01_Input_Timecourse'!A53</f>
        <v/>
      </c>
      <c r="B53" s="2">
        <f>'01_Input_Timecourse'!B53</f>
        <v/>
      </c>
      <c r="C53" s="2">
        <f>'01_Input_Timecourse'!C53</f>
        <v/>
      </c>
      <c r="D53" s="2">
        <f>'01_Input_Timecourse'!D53</f>
        <v/>
      </c>
      <c r="E53" s="6">
        <f>IFERROR(('01_Input_Timecourse'!F53-'01_Input_Timecourse'!E53)/24,"")</f>
        <v/>
      </c>
      <c r="F53" s="6">
        <f>IFERROR(AVERAGE('01_Input_Timecourse'!G53:H53),"")</f>
        <v/>
      </c>
      <c r="G53" s="6">
        <f>IFERROR(('01_Input_Timecourse'!K53-'01_Input_Timecourse'!L53)/$E53/$F53,"")</f>
        <v/>
      </c>
      <c r="H53" s="6">
        <f>IFERROR(('01_Input_Timecourse'!N53-'01_Input_Timecourse'!M53)/$E53/$F53,"")</f>
        <v/>
      </c>
      <c r="I53" s="6">
        <f>IFERROR(('01_Input_Timecourse'!O53-'01_Input_Timecourse'!P53)/$E53/$F53,"")</f>
        <v/>
      </c>
      <c r="J53" s="6">
        <f>IFERROR(('01_Input_Timecourse'!R53-'01_Input_Timecourse'!Q53)/$E53/$F53,"")</f>
        <v/>
      </c>
      <c r="K53" s="6">
        <f>IFERROR(('01_Input_Timecourse'!T53-'01_Input_Timecourse'!S53)/$E53/$F53,"")</f>
        <v/>
      </c>
      <c r="L53" s="6">
        <f>IFERROR(('01_Input_Timecourse'!U53-'01_Input_Timecourse'!V53)/$E53/$F53,"")</f>
        <v/>
      </c>
      <c r="M53" s="6">
        <f>IFERROR(('01_Input_Timecourse'!W53-'01_Input_Timecourse'!X53)/$E53/$F53,"")</f>
        <v/>
      </c>
      <c r="N53" s="6">
        <f>IFERROR(('01_Input_Timecourse'!Y53-'01_Input_Timecourse'!Z53)/$E53/$F53,"")</f>
        <v/>
      </c>
      <c r="O53" s="6">
        <f>IFERROR(('01_Input_Timecourse'!AA53-'01_Input_Timecourse'!AB53)/$E53/$F53,"")</f>
        <v/>
      </c>
      <c r="P53" s="6">
        <f>IFERROR(('01_Input_Timecourse'!AC53-'01_Input_Timecourse'!AD53)/$E53/$F53,"")</f>
        <v/>
      </c>
      <c r="Q53" s="6">
        <f>IFERROR(('01_Input_Timecourse'!AE53-'01_Input_Timecourse'!AF53)/$E53/$F53,"")</f>
        <v/>
      </c>
      <c r="R53" s="6">
        <f>IFERROR(('01_Input_Timecourse'!AH53-'01_Input_Timecourse'!AG53)/$E53/$F53,"")</f>
        <v/>
      </c>
      <c r="S53" s="6">
        <f>IFERROR(('01_Input_Timecourse'!AJ53-'01_Input_Timecourse'!AI53)/$E53/$F53,"")</f>
        <v/>
      </c>
      <c r="T53" s="6">
        <f>IFERROR(('01_Input_Timecourse'!AL53-'01_Input_Timecourse'!AK53)/$E53/$F53,"")</f>
        <v/>
      </c>
      <c r="U53" s="6">
        <f>IFERROR(('01_Input_Timecourse'!AN53-'01_Input_Timecourse'!AM53)/$E53/$F53,"")</f>
        <v/>
      </c>
      <c r="V53" s="2">
        <f>IF(A53="","",IF(OR(E53&lt;=0,F53&lt;=0),"Check time/VCD","OK"))</f>
        <v/>
      </c>
    </row>
    <row r="54">
      <c r="A54" s="2">
        <f>'01_Input_Timecourse'!A54</f>
        <v/>
      </c>
      <c r="B54" s="2">
        <f>'01_Input_Timecourse'!B54</f>
        <v/>
      </c>
      <c r="C54" s="2">
        <f>'01_Input_Timecourse'!C54</f>
        <v/>
      </c>
      <c r="D54" s="2">
        <f>'01_Input_Timecourse'!D54</f>
        <v/>
      </c>
      <c r="E54" s="6">
        <f>IFERROR(('01_Input_Timecourse'!F54-'01_Input_Timecourse'!E54)/24,"")</f>
        <v/>
      </c>
      <c r="F54" s="6">
        <f>IFERROR(AVERAGE('01_Input_Timecourse'!G54:H54),"")</f>
        <v/>
      </c>
      <c r="G54" s="6">
        <f>IFERROR(('01_Input_Timecourse'!K54-'01_Input_Timecourse'!L54)/$E54/$F54,"")</f>
        <v/>
      </c>
      <c r="H54" s="6">
        <f>IFERROR(('01_Input_Timecourse'!N54-'01_Input_Timecourse'!M54)/$E54/$F54,"")</f>
        <v/>
      </c>
      <c r="I54" s="6">
        <f>IFERROR(('01_Input_Timecourse'!O54-'01_Input_Timecourse'!P54)/$E54/$F54,"")</f>
        <v/>
      </c>
      <c r="J54" s="6">
        <f>IFERROR(('01_Input_Timecourse'!R54-'01_Input_Timecourse'!Q54)/$E54/$F54,"")</f>
        <v/>
      </c>
      <c r="K54" s="6">
        <f>IFERROR(('01_Input_Timecourse'!T54-'01_Input_Timecourse'!S54)/$E54/$F54,"")</f>
        <v/>
      </c>
      <c r="L54" s="6">
        <f>IFERROR(('01_Input_Timecourse'!U54-'01_Input_Timecourse'!V54)/$E54/$F54,"")</f>
        <v/>
      </c>
      <c r="M54" s="6">
        <f>IFERROR(('01_Input_Timecourse'!W54-'01_Input_Timecourse'!X54)/$E54/$F54,"")</f>
        <v/>
      </c>
      <c r="N54" s="6">
        <f>IFERROR(('01_Input_Timecourse'!Y54-'01_Input_Timecourse'!Z54)/$E54/$F54,"")</f>
        <v/>
      </c>
      <c r="O54" s="6">
        <f>IFERROR(('01_Input_Timecourse'!AA54-'01_Input_Timecourse'!AB54)/$E54/$F54,"")</f>
        <v/>
      </c>
      <c r="P54" s="6">
        <f>IFERROR(('01_Input_Timecourse'!AC54-'01_Input_Timecourse'!AD54)/$E54/$F54,"")</f>
        <v/>
      </c>
      <c r="Q54" s="6">
        <f>IFERROR(('01_Input_Timecourse'!AE54-'01_Input_Timecourse'!AF54)/$E54/$F54,"")</f>
        <v/>
      </c>
      <c r="R54" s="6">
        <f>IFERROR(('01_Input_Timecourse'!AH54-'01_Input_Timecourse'!AG54)/$E54/$F54,"")</f>
        <v/>
      </c>
      <c r="S54" s="6">
        <f>IFERROR(('01_Input_Timecourse'!AJ54-'01_Input_Timecourse'!AI54)/$E54/$F54,"")</f>
        <v/>
      </c>
      <c r="T54" s="6">
        <f>IFERROR(('01_Input_Timecourse'!AL54-'01_Input_Timecourse'!AK54)/$E54/$F54,"")</f>
        <v/>
      </c>
      <c r="U54" s="6">
        <f>IFERROR(('01_Input_Timecourse'!AN54-'01_Input_Timecourse'!AM54)/$E54/$F54,"")</f>
        <v/>
      </c>
      <c r="V54" s="2">
        <f>IF(A54="","",IF(OR(E54&lt;=0,F54&lt;=0),"Check time/VCD","OK"))</f>
        <v/>
      </c>
    </row>
    <row r="55">
      <c r="A55" s="2">
        <f>'01_Input_Timecourse'!A55</f>
        <v/>
      </c>
      <c r="B55" s="2">
        <f>'01_Input_Timecourse'!B55</f>
        <v/>
      </c>
      <c r="C55" s="2">
        <f>'01_Input_Timecourse'!C55</f>
        <v/>
      </c>
      <c r="D55" s="2">
        <f>'01_Input_Timecourse'!D55</f>
        <v/>
      </c>
      <c r="E55" s="6">
        <f>IFERROR(('01_Input_Timecourse'!F55-'01_Input_Timecourse'!E55)/24,"")</f>
        <v/>
      </c>
      <c r="F55" s="6">
        <f>IFERROR(AVERAGE('01_Input_Timecourse'!G55:H55),"")</f>
        <v/>
      </c>
      <c r="G55" s="6">
        <f>IFERROR(('01_Input_Timecourse'!K55-'01_Input_Timecourse'!L55)/$E55/$F55,"")</f>
        <v/>
      </c>
      <c r="H55" s="6">
        <f>IFERROR(('01_Input_Timecourse'!N55-'01_Input_Timecourse'!M55)/$E55/$F55,"")</f>
        <v/>
      </c>
      <c r="I55" s="6">
        <f>IFERROR(('01_Input_Timecourse'!O55-'01_Input_Timecourse'!P55)/$E55/$F55,"")</f>
        <v/>
      </c>
      <c r="J55" s="6">
        <f>IFERROR(('01_Input_Timecourse'!R55-'01_Input_Timecourse'!Q55)/$E55/$F55,"")</f>
        <v/>
      </c>
      <c r="K55" s="6">
        <f>IFERROR(('01_Input_Timecourse'!T55-'01_Input_Timecourse'!S55)/$E55/$F55,"")</f>
        <v/>
      </c>
      <c r="L55" s="6">
        <f>IFERROR(('01_Input_Timecourse'!U55-'01_Input_Timecourse'!V55)/$E55/$F55,"")</f>
        <v/>
      </c>
      <c r="M55" s="6">
        <f>IFERROR(('01_Input_Timecourse'!W55-'01_Input_Timecourse'!X55)/$E55/$F55,"")</f>
        <v/>
      </c>
      <c r="N55" s="6">
        <f>IFERROR(('01_Input_Timecourse'!Y55-'01_Input_Timecourse'!Z55)/$E55/$F55,"")</f>
        <v/>
      </c>
      <c r="O55" s="6">
        <f>IFERROR(('01_Input_Timecourse'!AA55-'01_Input_Timecourse'!AB55)/$E55/$F55,"")</f>
        <v/>
      </c>
      <c r="P55" s="6">
        <f>IFERROR(('01_Input_Timecourse'!AC55-'01_Input_Timecourse'!AD55)/$E55/$F55,"")</f>
        <v/>
      </c>
      <c r="Q55" s="6">
        <f>IFERROR(('01_Input_Timecourse'!AE55-'01_Input_Timecourse'!AF55)/$E55/$F55,"")</f>
        <v/>
      </c>
      <c r="R55" s="6">
        <f>IFERROR(('01_Input_Timecourse'!AH55-'01_Input_Timecourse'!AG55)/$E55/$F55,"")</f>
        <v/>
      </c>
      <c r="S55" s="6">
        <f>IFERROR(('01_Input_Timecourse'!AJ55-'01_Input_Timecourse'!AI55)/$E55/$F55,"")</f>
        <v/>
      </c>
      <c r="T55" s="6">
        <f>IFERROR(('01_Input_Timecourse'!AL55-'01_Input_Timecourse'!AK55)/$E55/$F55,"")</f>
        <v/>
      </c>
      <c r="U55" s="6">
        <f>IFERROR(('01_Input_Timecourse'!AN55-'01_Input_Timecourse'!AM55)/$E55/$F55,"")</f>
        <v/>
      </c>
      <c r="V55" s="2">
        <f>IF(A55="","",IF(OR(E55&lt;=0,F55&lt;=0),"Check time/VCD","OK"))</f>
        <v/>
      </c>
    </row>
    <row r="56">
      <c r="A56" s="2">
        <f>'01_Input_Timecourse'!A56</f>
        <v/>
      </c>
      <c r="B56" s="2">
        <f>'01_Input_Timecourse'!B56</f>
        <v/>
      </c>
      <c r="C56" s="2">
        <f>'01_Input_Timecourse'!C56</f>
        <v/>
      </c>
      <c r="D56" s="2">
        <f>'01_Input_Timecourse'!D56</f>
        <v/>
      </c>
      <c r="E56" s="6">
        <f>IFERROR(('01_Input_Timecourse'!F56-'01_Input_Timecourse'!E56)/24,"")</f>
        <v/>
      </c>
      <c r="F56" s="6">
        <f>IFERROR(AVERAGE('01_Input_Timecourse'!G56:H56),"")</f>
        <v/>
      </c>
      <c r="G56" s="6">
        <f>IFERROR(('01_Input_Timecourse'!K56-'01_Input_Timecourse'!L56)/$E56/$F56,"")</f>
        <v/>
      </c>
      <c r="H56" s="6">
        <f>IFERROR(('01_Input_Timecourse'!N56-'01_Input_Timecourse'!M56)/$E56/$F56,"")</f>
        <v/>
      </c>
      <c r="I56" s="6">
        <f>IFERROR(('01_Input_Timecourse'!O56-'01_Input_Timecourse'!P56)/$E56/$F56,"")</f>
        <v/>
      </c>
      <c r="J56" s="6">
        <f>IFERROR(('01_Input_Timecourse'!R56-'01_Input_Timecourse'!Q56)/$E56/$F56,"")</f>
        <v/>
      </c>
      <c r="K56" s="6">
        <f>IFERROR(('01_Input_Timecourse'!T56-'01_Input_Timecourse'!S56)/$E56/$F56,"")</f>
        <v/>
      </c>
      <c r="L56" s="6">
        <f>IFERROR(('01_Input_Timecourse'!U56-'01_Input_Timecourse'!V56)/$E56/$F56,"")</f>
        <v/>
      </c>
      <c r="M56" s="6">
        <f>IFERROR(('01_Input_Timecourse'!W56-'01_Input_Timecourse'!X56)/$E56/$F56,"")</f>
        <v/>
      </c>
      <c r="N56" s="6">
        <f>IFERROR(('01_Input_Timecourse'!Y56-'01_Input_Timecourse'!Z56)/$E56/$F56,"")</f>
        <v/>
      </c>
      <c r="O56" s="6">
        <f>IFERROR(('01_Input_Timecourse'!AA56-'01_Input_Timecourse'!AB56)/$E56/$F56,"")</f>
        <v/>
      </c>
      <c r="P56" s="6">
        <f>IFERROR(('01_Input_Timecourse'!AC56-'01_Input_Timecourse'!AD56)/$E56/$F56,"")</f>
        <v/>
      </c>
      <c r="Q56" s="6">
        <f>IFERROR(('01_Input_Timecourse'!AE56-'01_Input_Timecourse'!AF56)/$E56/$F56,"")</f>
        <v/>
      </c>
      <c r="R56" s="6">
        <f>IFERROR(('01_Input_Timecourse'!AH56-'01_Input_Timecourse'!AG56)/$E56/$F56,"")</f>
        <v/>
      </c>
      <c r="S56" s="6">
        <f>IFERROR(('01_Input_Timecourse'!AJ56-'01_Input_Timecourse'!AI56)/$E56/$F56,"")</f>
        <v/>
      </c>
      <c r="T56" s="6">
        <f>IFERROR(('01_Input_Timecourse'!AL56-'01_Input_Timecourse'!AK56)/$E56/$F56,"")</f>
        <v/>
      </c>
      <c r="U56" s="6">
        <f>IFERROR(('01_Input_Timecourse'!AN56-'01_Input_Timecourse'!AM56)/$E56/$F56,"")</f>
        <v/>
      </c>
      <c r="V56" s="2">
        <f>IF(A56="","",IF(OR(E56&lt;=0,F56&lt;=0),"Check time/VCD","OK"))</f>
        <v/>
      </c>
    </row>
    <row r="57">
      <c r="A57" s="2">
        <f>'01_Input_Timecourse'!A57</f>
        <v/>
      </c>
      <c r="B57" s="2">
        <f>'01_Input_Timecourse'!B57</f>
        <v/>
      </c>
      <c r="C57" s="2">
        <f>'01_Input_Timecourse'!C57</f>
        <v/>
      </c>
      <c r="D57" s="2">
        <f>'01_Input_Timecourse'!D57</f>
        <v/>
      </c>
      <c r="E57" s="6">
        <f>IFERROR(('01_Input_Timecourse'!F57-'01_Input_Timecourse'!E57)/24,"")</f>
        <v/>
      </c>
      <c r="F57" s="6">
        <f>IFERROR(AVERAGE('01_Input_Timecourse'!G57:H57),"")</f>
        <v/>
      </c>
      <c r="G57" s="6">
        <f>IFERROR(('01_Input_Timecourse'!K57-'01_Input_Timecourse'!L57)/$E57/$F57,"")</f>
        <v/>
      </c>
      <c r="H57" s="6">
        <f>IFERROR(('01_Input_Timecourse'!N57-'01_Input_Timecourse'!M57)/$E57/$F57,"")</f>
        <v/>
      </c>
      <c r="I57" s="6">
        <f>IFERROR(('01_Input_Timecourse'!O57-'01_Input_Timecourse'!P57)/$E57/$F57,"")</f>
        <v/>
      </c>
      <c r="J57" s="6">
        <f>IFERROR(('01_Input_Timecourse'!R57-'01_Input_Timecourse'!Q57)/$E57/$F57,"")</f>
        <v/>
      </c>
      <c r="K57" s="6">
        <f>IFERROR(('01_Input_Timecourse'!T57-'01_Input_Timecourse'!S57)/$E57/$F57,"")</f>
        <v/>
      </c>
      <c r="L57" s="6">
        <f>IFERROR(('01_Input_Timecourse'!U57-'01_Input_Timecourse'!V57)/$E57/$F57,"")</f>
        <v/>
      </c>
      <c r="M57" s="6">
        <f>IFERROR(('01_Input_Timecourse'!W57-'01_Input_Timecourse'!X57)/$E57/$F57,"")</f>
        <v/>
      </c>
      <c r="N57" s="6">
        <f>IFERROR(('01_Input_Timecourse'!Y57-'01_Input_Timecourse'!Z57)/$E57/$F57,"")</f>
        <v/>
      </c>
      <c r="O57" s="6">
        <f>IFERROR(('01_Input_Timecourse'!AA57-'01_Input_Timecourse'!AB57)/$E57/$F57,"")</f>
        <v/>
      </c>
      <c r="P57" s="6">
        <f>IFERROR(('01_Input_Timecourse'!AC57-'01_Input_Timecourse'!AD57)/$E57/$F57,"")</f>
        <v/>
      </c>
      <c r="Q57" s="6">
        <f>IFERROR(('01_Input_Timecourse'!AE57-'01_Input_Timecourse'!AF57)/$E57/$F57,"")</f>
        <v/>
      </c>
      <c r="R57" s="6">
        <f>IFERROR(('01_Input_Timecourse'!AH57-'01_Input_Timecourse'!AG57)/$E57/$F57,"")</f>
        <v/>
      </c>
      <c r="S57" s="6">
        <f>IFERROR(('01_Input_Timecourse'!AJ57-'01_Input_Timecourse'!AI57)/$E57/$F57,"")</f>
        <v/>
      </c>
      <c r="T57" s="6">
        <f>IFERROR(('01_Input_Timecourse'!AL57-'01_Input_Timecourse'!AK57)/$E57/$F57,"")</f>
        <v/>
      </c>
      <c r="U57" s="6">
        <f>IFERROR(('01_Input_Timecourse'!AN57-'01_Input_Timecourse'!AM57)/$E57/$F57,"")</f>
        <v/>
      </c>
      <c r="V57" s="2">
        <f>IF(A57="","",IF(OR(E57&lt;=0,F57&lt;=0),"Check time/VCD","OK"))</f>
        <v/>
      </c>
    </row>
    <row r="58">
      <c r="A58" s="2">
        <f>'01_Input_Timecourse'!A58</f>
        <v/>
      </c>
      <c r="B58" s="2">
        <f>'01_Input_Timecourse'!B58</f>
        <v/>
      </c>
      <c r="C58" s="2">
        <f>'01_Input_Timecourse'!C58</f>
        <v/>
      </c>
      <c r="D58" s="2">
        <f>'01_Input_Timecourse'!D58</f>
        <v/>
      </c>
      <c r="E58" s="6">
        <f>IFERROR(('01_Input_Timecourse'!F58-'01_Input_Timecourse'!E58)/24,"")</f>
        <v/>
      </c>
      <c r="F58" s="6">
        <f>IFERROR(AVERAGE('01_Input_Timecourse'!G58:H58),"")</f>
        <v/>
      </c>
      <c r="G58" s="6">
        <f>IFERROR(('01_Input_Timecourse'!K58-'01_Input_Timecourse'!L58)/$E58/$F58,"")</f>
        <v/>
      </c>
      <c r="H58" s="6">
        <f>IFERROR(('01_Input_Timecourse'!N58-'01_Input_Timecourse'!M58)/$E58/$F58,"")</f>
        <v/>
      </c>
      <c r="I58" s="6">
        <f>IFERROR(('01_Input_Timecourse'!O58-'01_Input_Timecourse'!P58)/$E58/$F58,"")</f>
        <v/>
      </c>
      <c r="J58" s="6">
        <f>IFERROR(('01_Input_Timecourse'!R58-'01_Input_Timecourse'!Q58)/$E58/$F58,"")</f>
        <v/>
      </c>
      <c r="K58" s="6">
        <f>IFERROR(('01_Input_Timecourse'!T58-'01_Input_Timecourse'!S58)/$E58/$F58,"")</f>
        <v/>
      </c>
      <c r="L58" s="6">
        <f>IFERROR(('01_Input_Timecourse'!U58-'01_Input_Timecourse'!V58)/$E58/$F58,"")</f>
        <v/>
      </c>
      <c r="M58" s="6">
        <f>IFERROR(('01_Input_Timecourse'!W58-'01_Input_Timecourse'!X58)/$E58/$F58,"")</f>
        <v/>
      </c>
      <c r="N58" s="6">
        <f>IFERROR(('01_Input_Timecourse'!Y58-'01_Input_Timecourse'!Z58)/$E58/$F58,"")</f>
        <v/>
      </c>
      <c r="O58" s="6">
        <f>IFERROR(('01_Input_Timecourse'!AA58-'01_Input_Timecourse'!AB58)/$E58/$F58,"")</f>
        <v/>
      </c>
      <c r="P58" s="6">
        <f>IFERROR(('01_Input_Timecourse'!AC58-'01_Input_Timecourse'!AD58)/$E58/$F58,"")</f>
        <v/>
      </c>
      <c r="Q58" s="6">
        <f>IFERROR(('01_Input_Timecourse'!AE58-'01_Input_Timecourse'!AF58)/$E58/$F58,"")</f>
        <v/>
      </c>
      <c r="R58" s="6">
        <f>IFERROR(('01_Input_Timecourse'!AH58-'01_Input_Timecourse'!AG58)/$E58/$F58,"")</f>
        <v/>
      </c>
      <c r="S58" s="6">
        <f>IFERROR(('01_Input_Timecourse'!AJ58-'01_Input_Timecourse'!AI58)/$E58/$F58,"")</f>
        <v/>
      </c>
      <c r="T58" s="6">
        <f>IFERROR(('01_Input_Timecourse'!AL58-'01_Input_Timecourse'!AK58)/$E58/$F58,"")</f>
        <v/>
      </c>
      <c r="U58" s="6">
        <f>IFERROR(('01_Input_Timecourse'!AN58-'01_Input_Timecourse'!AM58)/$E58/$F58,"")</f>
        <v/>
      </c>
      <c r="V58" s="2">
        <f>IF(A58="","",IF(OR(E58&lt;=0,F58&lt;=0),"Check time/VCD","OK"))</f>
        <v/>
      </c>
    </row>
    <row r="59">
      <c r="A59" s="2">
        <f>'01_Input_Timecourse'!A59</f>
        <v/>
      </c>
      <c r="B59" s="2">
        <f>'01_Input_Timecourse'!B59</f>
        <v/>
      </c>
      <c r="C59" s="2">
        <f>'01_Input_Timecourse'!C59</f>
        <v/>
      </c>
      <c r="D59" s="2">
        <f>'01_Input_Timecourse'!D59</f>
        <v/>
      </c>
      <c r="E59" s="6">
        <f>IFERROR(('01_Input_Timecourse'!F59-'01_Input_Timecourse'!E59)/24,"")</f>
        <v/>
      </c>
      <c r="F59" s="6">
        <f>IFERROR(AVERAGE('01_Input_Timecourse'!G59:H59),"")</f>
        <v/>
      </c>
      <c r="G59" s="6">
        <f>IFERROR(('01_Input_Timecourse'!K59-'01_Input_Timecourse'!L59)/$E59/$F59,"")</f>
        <v/>
      </c>
      <c r="H59" s="6">
        <f>IFERROR(('01_Input_Timecourse'!N59-'01_Input_Timecourse'!M59)/$E59/$F59,"")</f>
        <v/>
      </c>
      <c r="I59" s="6">
        <f>IFERROR(('01_Input_Timecourse'!O59-'01_Input_Timecourse'!P59)/$E59/$F59,"")</f>
        <v/>
      </c>
      <c r="J59" s="6">
        <f>IFERROR(('01_Input_Timecourse'!R59-'01_Input_Timecourse'!Q59)/$E59/$F59,"")</f>
        <v/>
      </c>
      <c r="K59" s="6">
        <f>IFERROR(('01_Input_Timecourse'!T59-'01_Input_Timecourse'!S59)/$E59/$F59,"")</f>
        <v/>
      </c>
      <c r="L59" s="6">
        <f>IFERROR(('01_Input_Timecourse'!U59-'01_Input_Timecourse'!V59)/$E59/$F59,"")</f>
        <v/>
      </c>
      <c r="M59" s="6">
        <f>IFERROR(('01_Input_Timecourse'!W59-'01_Input_Timecourse'!X59)/$E59/$F59,"")</f>
        <v/>
      </c>
      <c r="N59" s="6">
        <f>IFERROR(('01_Input_Timecourse'!Y59-'01_Input_Timecourse'!Z59)/$E59/$F59,"")</f>
        <v/>
      </c>
      <c r="O59" s="6">
        <f>IFERROR(('01_Input_Timecourse'!AA59-'01_Input_Timecourse'!AB59)/$E59/$F59,"")</f>
        <v/>
      </c>
      <c r="P59" s="6">
        <f>IFERROR(('01_Input_Timecourse'!AC59-'01_Input_Timecourse'!AD59)/$E59/$F59,"")</f>
        <v/>
      </c>
      <c r="Q59" s="6">
        <f>IFERROR(('01_Input_Timecourse'!AE59-'01_Input_Timecourse'!AF59)/$E59/$F59,"")</f>
        <v/>
      </c>
      <c r="R59" s="6">
        <f>IFERROR(('01_Input_Timecourse'!AH59-'01_Input_Timecourse'!AG59)/$E59/$F59,"")</f>
        <v/>
      </c>
      <c r="S59" s="6">
        <f>IFERROR(('01_Input_Timecourse'!AJ59-'01_Input_Timecourse'!AI59)/$E59/$F59,"")</f>
        <v/>
      </c>
      <c r="T59" s="6">
        <f>IFERROR(('01_Input_Timecourse'!AL59-'01_Input_Timecourse'!AK59)/$E59/$F59,"")</f>
        <v/>
      </c>
      <c r="U59" s="6">
        <f>IFERROR(('01_Input_Timecourse'!AN59-'01_Input_Timecourse'!AM59)/$E59/$F59,"")</f>
        <v/>
      </c>
      <c r="V59" s="2">
        <f>IF(A59="","",IF(OR(E59&lt;=0,F59&lt;=0),"Check time/VCD","OK"))</f>
        <v/>
      </c>
    </row>
    <row r="60">
      <c r="A60" s="2">
        <f>'01_Input_Timecourse'!A60</f>
        <v/>
      </c>
      <c r="B60" s="2">
        <f>'01_Input_Timecourse'!B60</f>
        <v/>
      </c>
      <c r="C60" s="2">
        <f>'01_Input_Timecourse'!C60</f>
        <v/>
      </c>
      <c r="D60" s="2">
        <f>'01_Input_Timecourse'!D60</f>
        <v/>
      </c>
      <c r="E60" s="6">
        <f>IFERROR(('01_Input_Timecourse'!F60-'01_Input_Timecourse'!E60)/24,"")</f>
        <v/>
      </c>
      <c r="F60" s="6">
        <f>IFERROR(AVERAGE('01_Input_Timecourse'!G60:H60),"")</f>
        <v/>
      </c>
      <c r="G60" s="6">
        <f>IFERROR(('01_Input_Timecourse'!K60-'01_Input_Timecourse'!L60)/$E60/$F60,"")</f>
        <v/>
      </c>
      <c r="H60" s="6">
        <f>IFERROR(('01_Input_Timecourse'!N60-'01_Input_Timecourse'!M60)/$E60/$F60,"")</f>
        <v/>
      </c>
      <c r="I60" s="6">
        <f>IFERROR(('01_Input_Timecourse'!O60-'01_Input_Timecourse'!P60)/$E60/$F60,"")</f>
        <v/>
      </c>
      <c r="J60" s="6">
        <f>IFERROR(('01_Input_Timecourse'!R60-'01_Input_Timecourse'!Q60)/$E60/$F60,"")</f>
        <v/>
      </c>
      <c r="K60" s="6">
        <f>IFERROR(('01_Input_Timecourse'!T60-'01_Input_Timecourse'!S60)/$E60/$F60,"")</f>
        <v/>
      </c>
      <c r="L60" s="6">
        <f>IFERROR(('01_Input_Timecourse'!U60-'01_Input_Timecourse'!V60)/$E60/$F60,"")</f>
        <v/>
      </c>
      <c r="M60" s="6">
        <f>IFERROR(('01_Input_Timecourse'!W60-'01_Input_Timecourse'!X60)/$E60/$F60,"")</f>
        <v/>
      </c>
      <c r="N60" s="6">
        <f>IFERROR(('01_Input_Timecourse'!Y60-'01_Input_Timecourse'!Z60)/$E60/$F60,"")</f>
        <v/>
      </c>
      <c r="O60" s="6">
        <f>IFERROR(('01_Input_Timecourse'!AA60-'01_Input_Timecourse'!AB60)/$E60/$F60,"")</f>
        <v/>
      </c>
      <c r="P60" s="6">
        <f>IFERROR(('01_Input_Timecourse'!AC60-'01_Input_Timecourse'!AD60)/$E60/$F60,"")</f>
        <v/>
      </c>
      <c r="Q60" s="6">
        <f>IFERROR(('01_Input_Timecourse'!AE60-'01_Input_Timecourse'!AF60)/$E60/$F60,"")</f>
        <v/>
      </c>
      <c r="R60" s="6">
        <f>IFERROR(('01_Input_Timecourse'!AH60-'01_Input_Timecourse'!AG60)/$E60/$F60,"")</f>
        <v/>
      </c>
      <c r="S60" s="6">
        <f>IFERROR(('01_Input_Timecourse'!AJ60-'01_Input_Timecourse'!AI60)/$E60/$F60,"")</f>
        <v/>
      </c>
      <c r="T60" s="6">
        <f>IFERROR(('01_Input_Timecourse'!AL60-'01_Input_Timecourse'!AK60)/$E60/$F60,"")</f>
        <v/>
      </c>
      <c r="U60" s="6">
        <f>IFERROR(('01_Input_Timecourse'!AN60-'01_Input_Timecourse'!AM60)/$E60/$F60,"")</f>
        <v/>
      </c>
      <c r="V60" s="2">
        <f>IF(A60="","",IF(OR(E60&lt;=0,F60&lt;=0),"Check time/VCD","OK"))</f>
        <v/>
      </c>
    </row>
    <row r="61">
      <c r="A61" s="2">
        <f>'01_Input_Timecourse'!A61</f>
        <v/>
      </c>
      <c r="B61" s="2">
        <f>'01_Input_Timecourse'!B61</f>
        <v/>
      </c>
      <c r="C61" s="2">
        <f>'01_Input_Timecourse'!C61</f>
        <v/>
      </c>
      <c r="D61" s="2">
        <f>'01_Input_Timecourse'!D61</f>
        <v/>
      </c>
      <c r="E61" s="6">
        <f>IFERROR(('01_Input_Timecourse'!F61-'01_Input_Timecourse'!E61)/24,"")</f>
        <v/>
      </c>
      <c r="F61" s="6">
        <f>IFERROR(AVERAGE('01_Input_Timecourse'!G61:H61),"")</f>
        <v/>
      </c>
      <c r="G61" s="6">
        <f>IFERROR(('01_Input_Timecourse'!K61-'01_Input_Timecourse'!L61)/$E61/$F61,"")</f>
        <v/>
      </c>
      <c r="H61" s="6">
        <f>IFERROR(('01_Input_Timecourse'!N61-'01_Input_Timecourse'!M61)/$E61/$F61,"")</f>
        <v/>
      </c>
      <c r="I61" s="6">
        <f>IFERROR(('01_Input_Timecourse'!O61-'01_Input_Timecourse'!P61)/$E61/$F61,"")</f>
        <v/>
      </c>
      <c r="J61" s="6">
        <f>IFERROR(('01_Input_Timecourse'!R61-'01_Input_Timecourse'!Q61)/$E61/$F61,"")</f>
        <v/>
      </c>
      <c r="K61" s="6">
        <f>IFERROR(('01_Input_Timecourse'!T61-'01_Input_Timecourse'!S61)/$E61/$F61,"")</f>
        <v/>
      </c>
      <c r="L61" s="6">
        <f>IFERROR(('01_Input_Timecourse'!U61-'01_Input_Timecourse'!V61)/$E61/$F61,"")</f>
        <v/>
      </c>
      <c r="M61" s="6">
        <f>IFERROR(('01_Input_Timecourse'!W61-'01_Input_Timecourse'!X61)/$E61/$F61,"")</f>
        <v/>
      </c>
      <c r="N61" s="6">
        <f>IFERROR(('01_Input_Timecourse'!Y61-'01_Input_Timecourse'!Z61)/$E61/$F61,"")</f>
        <v/>
      </c>
      <c r="O61" s="6">
        <f>IFERROR(('01_Input_Timecourse'!AA61-'01_Input_Timecourse'!AB61)/$E61/$F61,"")</f>
        <v/>
      </c>
      <c r="P61" s="6">
        <f>IFERROR(('01_Input_Timecourse'!AC61-'01_Input_Timecourse'!AD61)/$E61/$F61,"")</f>
        <v/>
      </c>
      <c r="Q61" s="6">
        <f>IFERROR(('01_Input_Timecourse'!AE61-'01_Input_Timecourse'!AF61)/$E61/$F61,"")</f>
        <v/>
      </c>
      <c r="R61" s="6">
        <f>IFERROR(('01_Input_Timecourse'!AH61-'01_Input_Timecourse'!AG61)/$E61/$F61,"")</f>
        <v/>
      </c>
      <c r="S61" s="6">
        <f>IFERROR(('01_Input_Timecourse'!AJ61-'01_Input_Timecourse'!AI61)/$E61/$F61,"")</f>
        <v/>
      </c>
      <c r="T61" s="6">
        <f>IFERROR(('01_Input_Timecourse'!AL61-'01_Input_Timecourse'!AK61)/$E61/$F61,"")</f>
        <v/>
      </c>
      <c r="U61" s="6">
        <f>IFERROR(('01_Input_Timecourse'!AN61-'01_Input_Timecourse'!AM61)/$E61/$F61,"")</f>
        <v/>
      </c>
      <c r="V61" s="2">
        <f>IF(A61="","",IF(OR(E61&lt;=0,F61&lt;=0),"Check time/VCD","OK"))</f>
        <v/>
      </c>
    </row>
    <row r="62">
      <c r="A62" s="2">
        <f>'01_Input_Timecourse'!A62</f>
        <v/>
      </c>
      <c r="B62" s="2">
        <f>'01_Input_Timecourse'!B62</f>
        <v/>
      </c>
      <c r="C62" s="2">
        <f>'01_Input_Timecourse'!C62</f>
        <v/>
      </c>
      <c r="D62" s="2">
        <f>'01_Input_Timecourse'!D62</f>
        <v/>
      </c>
      <c r="E62" s="6">
        <f>IFERROR(('01_Input_Timecourse'!F62-'01_Input_Timecourse'!E62)/24,"")</f>
        <v/>
      </c>
      <c r="F62" s="6">
        <f>IFERROR(AVERAGE('01_Input_Timecourse'!G62:H62),"")</f>
        <v/>
      </c>
      <c r="G62" s="6">
        <f>IFERROR(('01_Input_Timecourse'!K62-'01_Input_Timecourse'!L62)/$E62/$F62,"")</f>
        <v/>
      </c>
      <c r="H62" s="6">
        <f>IFERROR(('01_Input_Timecourse'!N62-'01_Input_Timecourse'!M62)/$E62/$F62,"")</f>
        <v/>
      </c>
      <c r="I62" s="6">
        <f>IFERROR(('01_Input_Timecourse'!O62-'01_Input_Timecourse'!P62)/$E62/$F62,"")</f>
        <v/>
      </c>
      <c r="J62" s="6">
        <f>IFERROR(('01_Input_Timecourse'!R62-'01_Input_Timecourse'!Q62)/$E62/$F62,"")</f>
        <v/>
      </c>
      <c r="K62" s="6">
        <f>IFERROR(('01_Input_Timecourse'!T62-'01_Input_Timecourse'!S62)/$E62/$F62,"")</f>
        <v/>
      </c>
      <c r="L62" s="6">
        <f>IFERROR(('01_Input_Timecourse'!U62-'01_Input_Timecourse'!V62)/$E62/$F62,"")</f>
        <v/>
      </c>
      <c r="M62" s="6">
        <f>IFERROR(('01_Input_Timecourse'!W62-'01_Input_Timecourse'!X62)/$E62/$F62,"")</f>
        <v/>
      </c>
      <c r="N62" s="6">
        <f>IFERROR(('01_Input_Timecourse'!Y62-'01_Input_Timecourse'!Z62)/$E62/$F62,"")</f>
        <v/>
      </c>
      <c r="O62" s="6">
        <f>IFERROR(('01_Input_Timecourse'!AA62-'01_Input_Timecourse'!AB62)/$E62/$F62,"")</f>
        <v/>
      </c>
      <c r="P62" s="6">
        <f>IFERROR(('01_Input_Timecourse'!AC62-'01_Input_Timecourse'!AD62)/$E62/$F62,"")</f>
        <v/>
      </c>
      <c r="Q62" s="6">
        <f>IFERROR(('01_Input_Timecourse'!AE62-'01_Input_Timecourse'!AF62)/$E62/$F62,"")</f>
        <v/>
      </c>
      <c r="R62" s="6">
        <f>IFERROR(('01_Input_Timecourse'!AH62-'01_Input_Timecourse'!AG62)/$E62/$F62,"")</f>
        <v/>
      </c>
      <c r="S62" s="6">
        <f>IFERROR(('01_Input_Timecourse'!AJ62-'01_Input_Timecourse'!AI62)/$E62/$F62,"")</f>
        <v/>
      </c>
      <c r="T62" s="6">
        <f>IFERROR(('01_Input_Timecourse'!AL62-'01_Input_Timecourse'!AK62)/$E62/$F62,"")</f>
        <v/>
      </c>
      <c r="U62" s="6">
        <f>IFERROR(('01_Input_Timecourse'!AN62-'01_Input_Timecourse'!AM62)/$E62/$F62,"")</f>
        <v/>
      </c>
      <c r="V62" s="2">
        <f>IF(A62="","",IF(OR(E62&lt;=0,F62&lt;=0),"Check time/VCD","OK"))</f>
        <v/>
      </c>
    </row>
    <row r="63">
      <c r="A63" s="2">
        <f>'01_Input_Timecourse'!A63</f>
        <v/>
      </c>
      <c r="B63" s="2">
        <f>'01_Input_Timecourse'!B63</f>
        <v/>
      </c>
      <c r="C63" s="2">
        <f>'01_Input_Timecourse'!C63</f>
        <v/>
      </c>
      <c r="D63" s="2">
        <f>'01_Input_Timecourse'!D63</f>
        <v/>
      </c>
      <c r="E63" s="6">
        <f>IFERROR(('01_Input_Timecourse'!F63-'01_Input_Timecourse'!E63)/24,"")</f>
        <v/>
      </c>
      <c r="F63" s="6">
        <f>IFERROR(AVERAGE('01_Input_Timecourse'!G63:H63),"")</f>
        <v/>
      </c>
      <c r="G63" s="6">
        <f>IFERROR(('01_Input_Timecourse'!K63-'01_Input_Timecourse'!L63)/$E63/$F63,"")</f>
        <v/>
      </c>
      <c r="H63" s="6">
        <f>IFERROR(('01_Input_Timecourse'!N63-'01_Input_Timecourse'!M63)/$E63/$F63,"")</f>
        <v/>
      </c>
      <c r="I63" s="6">
        <f>IFERROR(('01_Input_Timecourse'!O63-'01_Input_Timecourse'!P63)/$E63/$F63,"")</f>
        <v/>
      </c>
      <c r="J63" s="6">
        <f>IFERROR(('01_Input_Timecourse'!R63-'01_Input_Timecourse'!Q63)/$E63/$F63,"")</f>
        <v/>
      </c>
      <c r="K63" s="6">
        <f>IFERROR(('01_Input_Timecourse'!T63-'01_Input_Timecourse'!S63)/$E63/$F63,"")</f>
        <v/>
      </c>
      <c r="L63" s="6">
        <f>IFERROR(('01_Input_Timecourse'!U63-'01_Input_Timecourse'!V63)/$E63/$F63,"")</f>
        <v/>
      </c>
      <c r="M63" s="6">
        <f>IFERROR(('01_Input_Timecourse'!W63-'01_Input_Timecourse'!X63)/$E63/$F63,"")</f>
        <v/>
      </c>
      <c r="N63" s="6">
        <f>IFERROR(('01_Input_Timecourse'!Y63-'01_Input_Timecourse'!Z63)/$E63/$F63,"")</f>
        <v/>
      </c>
      <c r="O63" s="6">
        <f>IFERROR(('01_Input_Timecourse'!AA63-'01_Input_Timecourse'!AB63)/$E63/$F63,"")</f>
        <v/>
      </c>
      <c r="P63" s="6">
        <f>IFERROR(('01_Input_Timecourse'!AC63-'01_Input_Timecourse'!AD63)/$E63/$F63,"")</f>
        <v/>
      </c>
      <c r="Q63" s="6">
        <f>IFERROR(('01_Input_Timecourse'!AE63-'01_Input_Timecourse'!AF63)/$E63/$F63,"")</f>
        <v/>
      </c>
      <c r="R63" s="6">
        <f>IFERROR(('01_Input_Timecourse'!AH63-'01_Input_Timecourse'!AG63)/$E63/$F63,"")</f>
        <v/>
      </c>
      <c r="S63" s="6">
        <f>IFERROR(('01_Input_Timecourse'!AJ63-'01_Input_Timecourse'!AI63)/$E63/$F63,"")</f>
        <v/>
      </c>
      <c r="T63" s="6">
        <f>IFERROR(('01_Input_Timecourse'!AL63-'01_Input_Timecourse'!AK63)/$E63/$F63,"")</f>
        <v/>
      </c>
      <c r="U63" s="6">
        <f>IFERROR(('01_Input_Timecourse'!AN63-'01_Input_Timecourse'!AM63)/$E63/$F63,"")</f>
        <v/>
      </c>
      <c r="V63" s="2">
        <f>IF(A63="","",IF(OR(E63&lt;=0,F63&lt;=0),"Check time/VCD","OK"))</f>
        <v/>
      </c>
    </row>
    <row r="64">
      <c r="A64" s="2">
        <f>'01_Input_Timecourse'!A64</f>
        <v/>
      </c>
      <c r="B64" s="2">
        <f>'01_Input_Timecourse'!B64</f>
        <v/>
      </c>
      <c r="C64" s="2">
        <f>'01_Input_Timecourse'!C64</f>
        <v/>
      </c>
      <c r="D64" s="2">
        <f>'01_Input_Timecourse'!D64</f>
        <v/>
      </c>
      <c r="E64" s="6">
        <f>IFERROR(('01_Input_Timecourse'!F64-'01_Input_Timecourse'!E64)/24,"")</f>
        <v/>
      </c>
      <c r="F64" s="6">
        <f>IFERROR(AVERAGE('01_Input_Timecourse'!G64:H64),"")</f>
        <v/>
      </c>
      <c r="G64" s="6">
        <f>IFERROR(('01_Input_Timecourse'!K64-'01_Input_Timecourse'!L64)/$E64/$F64,"")</f>
        <v/>
      </c>
      <c r="H64" s="6">
        <f>IFERROR(('01_Input_Timecourse'!N64-'01_Input_Timecourse'!M64)/$E64/$F64,"")</f>
        <v/>
      </c>
      <c r="I64" s="6">
        <f>IFERROR(('01_Input_Timecourse'!O64-'01_Input_Timecourse'!P64)/$E64/$F64,"")</f>
        <v/>
      </c>
      <c r="J64" s="6">
        <f>IFERROR(('01_Input_Timecourse'!R64-'01_Input_Timecourse'!Q64)/$E64/$F64,"")</f>
        <v/>
      </c>
      <c r="K64" s="6">
        <f>IFERROR(('01_Input_Timecourse'!T64-'01_Input_Timecourse'!S64)/$E64/$F64,"")</f>
        <v/>
      </c>
      <c r="L64" s="6">
        <f>IFERROR(('01_Input_Timecourse'!U64-'01_Input_Timecourse'!V64)/$E64/$F64,"")</f>
        <v/>
      </c>
      <c r="M64" s="6">
        <f>IFERROR(('01_Input_Timecourse'!W64-'01_Input_Timecourse'!X64)/$E64/$F64,"")</f>
        <v/>
      </c>
      <c r="N64" s="6">
        <f>IFERROR(('01_Input_Timecourse'!Y64-'01_Input_Timecourse'!Z64)/$E64/$F64,"")</f>
        <v/>
      </c>
      <c r="O64" s="6">
        <f>IFERROR(('01_Input_Timecourse'!AA64-'01_Input_Timecourse'!AB64)/$E64/$F64,"")</f>
        <v/>
      </c>
      <c r="P64" s="6">
        <f>IFERROR(('01_Input_Timecourse'!AC64-'01_Input_Timecourse'!AD64)/$E64/$F64,"")</f>
        <v/>
      </c>
      <c r="Q64" s="6">
        <f>IFERROR(('01_Input_Timecourse'!AE64-'01_Input_Timecourse'!AF64)/$E64/$F64,"")</f>
        <v/>
      </c>
      <c r="R64" s="6">
        <f>IFERROR(('01_Input_Timecourse'!AH64-'01_Input_Timecourse'!AG64)/$E64/$F64,"")</f>
        <v/>
      </c>
      <c r="S64" s="6">
        <f>IFERROR(('01_Input_Timecourse'!AJ64-'01_Input_Timecourse'!AI64)/$E64/$F64,"")</f>
        <v/>
      </c>
      <c r="T64" s="6">
        <f>IFERROR(('01_Input_Timecourse'!AL64-'01_Input_Timecourse'!AK64)/$E64/$F64,"")</f>
        <v/>
      </c>
      <c r="U64" s="6">
        <f>IFERROR(('01_Input_Timecourse'!AN64-'01_Input_Timecourse'!AM64)/$E64/$F64,"")</f>
        <v/>
      </c>
      <c r="V64" s="2">
        <f>IF(A64="","",IF(OR(E64&lt;=0,F64&lt;=0),"Check time/VCD","OK"))</f>
        <v/>
      </c>
    </row>
    <row r="65">
      <c r="A65" s="2">
        <f>'01_Input_Timecourse'!A65</f>
        <v/>
      </c>
      <c r="B65" s="2">
        <f>'01_Input_Timecourse'!B65</f>
        <v/>
      </c>
      <c r="C65" s="2">
        <f>'01_Input_Timecourse'!C65</f>
        <v/>
      </c>
      <c r="D65" s="2">
        <f>'01_Input_Timecourse'!D65</f>
        <v/>
      </c>
      <c r="E65" s="6">
        <f>IFERROR(('01_Input_Timecourse'!F65-'01_Input_Timecourse'!E65)/24,"")</f>
        <v/>
      </c>
      <c r="F65" s="6">
        <f>IFERROR(AVERAGE('01_Input_Timecourse'!G65:H65),"")</f>
        <v/>
      </c>
      <c r="G65" s="6">
        <f>IFERROR(('01_Input_Timecourse'!K65-'01_Input_Timecourse'!L65)/$E65/$F65,"")</f>
        <v/>
      </c>
      <c r="H65" s="6">
        <f>IFERROR(('01_Input_Timecourse'!N65-'01_Input_Timecourse'!M65)/$E65/$F65,"")</f>
        <v/>
      </c>
      <c r="I65" s="6">
        <f>IFERROR(('01_Input_Timecourse'!O65-'01_Input_Timecourse'!P65)/$E65/$F65,"")</f>
        <v/>
      </c>
      <c r="J65" s="6">
        <f>IFERROR(('01_Input_Timecourse'!R65-'01_Input_Timecourse'!Q65)/$E65/$F65,"")</f>
        <v/>
      </c>
      <c r="K65" s="6">
        <f>IFERROR(('01_Input_Timecourse'!T65-'01_Input_Timecourse'!S65)/$E65/$F65,"")</f>
        <v/>
      </c>
      <c r="L65" s="6">
        <f>IFERROR(('01_Input_Timecourse'!U65-'01_Input_Timecourse'!V65)/$E65/$F65,"")</f>
        <v/>
      </c>
      <c r="M65" s="6">
        <f>IFERROR(('01_Input_Timecourse'!W65-'01_Input_Timecourse'!X65)/$E65/$F65,"")</f>
        <v/>
      </c>
      <c r="N65" s="6">
        <f>IFERROR(('01_Input_Timecourse'!Y65-'01_Input_Timecourse'!Z65)/$E65/$F65,"")</f>
        <v/>
      </c>
      <c r="O65" s="6">
        <f>IFERROR(('01_Input_Timecourse'!AA65-'01_Input_Timecourse'!AB65)/$E65/$F65,"")</f>
        <v/>
      </c>
      <c r="P65" s="6">
        <f>IFERROR(('01_Input_Timecourse'!AC65-'01_Input_Timecourse'!AD65)/$E65/$F65,"")</f>
        <v/>
      </c>
      <c r="Q65" s="6">
        <f>IFERROR(('01_Input_Timecourse'!AE65-'01_Input_Timecourse'!AF65)/$E65/$F65,"")</f>
        <v/>
      </c>
      <c r="R65" s="6">
        <f>IFERROR(('01_Input_Timecourse'!AH65-'01_Input_Timecourse'!AG65)/$E65/$F65,"")</f>
        <v/>
      </c>
      <c r="S65" s="6">
        <f>IFERROR(('01_Input_Timecourse'!AJ65-'01_Input_Timecourse'!AI65)/$E65/$F65,"")</f>
        <v/>
      </c>
      <c r="T65" s="6">
        <f>IFERROR(('01_Input_Timecourse'!AL65-'01_Input_Timecourse'!AK65)/$E65/$F65,"")</f>
        <v/>
      </c>
      <c r="U65" s="6">
        <f>IFERROR(('01_Input_Timecourse'!AN65-'01_Input_Timecourse'!AM65)/$E65/$F65,"")</f>
        <v/>
      </c>
      <c r="V65" s="2">
        <f>IF(A65="","",IF(OR(E65&lt;=0,F65&lt;=0),"Check time/VCD","OK"))</f>
        <v/>
      </c>
    </row>
    <row r="66">
      <c r="A66" s="2">
        <f>'01_Input_Timecourse'!A66</f>
        <v/>
      </c>
      <c r="B66" s="2">
        <f>'01_Input_Timecourse'!B66</f>
        <v/>
      </c>
      <c r="C66" s="2">
        <f>'01_Input_Timecourse'!C66</f>
        <v/>
      </c>
      <c r="D66" s="2">
        <f>'01_Input_Timecourse'!D66</f>
        <v/>
      </c>
      <c r="E66" s="6">
        <f>IFERROR(('01_Input_Timecourse'!F66-'01_Input_Timecourse'!E66)/24,"")</f>
        <v/>
      </c>
      <c r="F66" s="6">
        <f>IFERROR(AVERAGE('01_Input_Timecourse'!G66:H66),"")</f>
        <v/>
      </c>
      <c r="G66" s="6">
        <f>IFERROR(('01_Input_Timecourse'!K66-'01_Input_Timecourse'!L66)/$E66/$F66,"")</f>
        <v/>
      </c>
      <c r="H66" s="6">
        <f>IFERROR(('01_Input_Timecourse'!N66-'01_Input_Timecourse'!M66)/$E66/$F66,"")</f>
        <v/>
      </c>
      <c r="I66" s="6">
        <f>IFERROR(('01_Input_Timecourse'!O66-'01_Input_Timecourse'!P66)/$E66/$F66,"")</f>
        <v/>
      </c>
      <c r="J66" s="6">
        <f>IFERROR(('01_Input_Timecourse'!R66-'01_Input_Timecourse'!Q66)/$E66/$F66,"")</f>
        <v/>
      </c>
      <c r="K66" s="6">
        <f>IFERROR(('01_Input_Timecourse'!T66-'01_Input_Timecourse'!S66)/$E66/$F66,"")</f>
        <v/>
      </c>
      <c r="L66" s="6">
        <f>IFERROR(('01_Input_Timecourse'!U66-'01_Input_Timecourse'!V66)/$E66/$F66,"")</f>
        <v/>
      </c>
      <c r="M66" s="6">
        <f>IFERROR(('01_Input_Timecourse'!W66-'01_Input_Timecourse'!X66)/$E66/$F66,"")</f>
        <v/>
      </c>
      <c r="N66" s="6">
        <f>IFERROR(('01_Input_Timecourse'!Y66-'01_Input_Timecourse'!Z66)/$E66/$F66,"")</f>
        <v/>
      </c>
      <c r="O66" s="6">
        <f>IFERROR(('01_Input_Timecourse'!AA66-'01_Input_Timecourse'!AB66)/$E66/$F66,"")</f>
        <v/>
      </c>
      <c r="P66" s="6">
        <f>IFERROR(('01_Input_Timecourse'!AC66-'01_Input_Timecourse'!AD66)/$E66/$F66,"")</f>
        <v/>
      </c>
      <c r="Q66" s="6">
        <f>IFERROR(('01_Input_Timecourse'!AE66-'01_Input_Timecourse'!AF66)/$E66/$F66,"")</f>
        <v/>
      </c>
      <c r="R66" s="6">
        <f>IFERROR(('01_Input_Timecourse'!AH66-'01_Input_Timecourse'!AG66)/$E66/$F66,"")</f>
        <v/>
      </c>
      <c r="S66" s="6">
        <f>IFERROR(('01_Input_Timecourse'!AJ66-'01_Input_Timecourse'!AI66)/$E66/$F66,"")</f>
        <v/>
      </c>
      <c r="T66" s="6">
        <f>IFERROR(('01_Input_Timecourse'!AL66-'01_Input_Timecourse'!AK66)/$E66/$F66,"")</f>
        <v/>
      </c>
      <c r="U66" s="6">
        <f>IFERROR(('01_Input_Timecourse'!AN66-'01_Input_Timecourse'!AM66)/$E66/$F66,"")</f>
        <v/>
      </c>
      <c r="V66" s="2">
        <f>IF(A66="","",IF(OR(E66&lt;=0,F66&lt;=0),"Check time/VCD","OK"))</f>
        <v/>
      </c>
    </row>
    <row r="67">
      <c r="A67" s="2">
        <f>'01_Input_Timecourse'!A67</f>
        <v/>
      </c>
      <c r="B67" s="2">
        <f>'01_Input_Timecourse'!B67</f>
        <v/>
      </c>
      <c r="C67" s="2">
        <f>'01_Input_Timecourse'!C67</f>
        <v/>
      </c>
      <c r="D67" s="2">
        <f>'01_Input_Timecourse'!D67</f>
        <v/>
      </c>
      <c r="E67" s="6">
        <f>IFERROR(('01_Input_Timecourse'!F67-'01_Input_Timecourse'!E67)/24,"")</f>
        <v/>
      </c>
      <c r="F67" s="6">
        <f>IFERROR(AVERAGE('01_Input_Timecourse'!G67:H67),"")</f>
        <v/>
      </c>
      <c r="G67" s="6">
        <f>IFERROR(('01_Input_Timecourse'!K67-'01_Input_Timecourse'!L67)/$E67/$F67,"")</f>
        <v/>
      </c>
      <c r="H67" s="6">
        <f>IFERROR(('01_Input_Timecourse'!N67-'01_Input_Timecourse'!M67)/$E67/$F67,"")</f>
        <v/>
      </c>
      <c r="I67" s="6">
        <f>IFERROR(('01_Input_Timecourse'!O67-'01_Input_Timecourse'!P67)/$E67/$F67,"")</f>
        <v/>
      </c>
      <c r="J67" s="6">
        <f>IFERROR(('01_Input_Timecourse'!R67-'01_Input_Timecourse'!Q67)/$E67/$F67,"")</f>
        <v/>
      </c>
      <c r="K67" s="6">
        <f>IFERROR(('01_Input_Timecourse'!T67-'01_Input_Timecourse'!S67)/$E67/$F67,"")</f>
        <v/>
      </c>
      <c r="L67" s="6">
        <f>IFERROR(('01_Input_Timecourse'!U67-'01_Input_Timecourse'!V67)/$E67/$F67,"")</f>
        <v/>
      </c>
      <c r="M67" s="6">
        <f>IFERROR(('01_Input_Timecourse'!W67-'01_Input_Timecourse'!X67)/$E67/$F67,"")</f>
        <v/>
      </c>
      <c r="N67" s="6">
        <f>IFERROR(('01_Input_Timecourse'!Y67-'01_Input_Timecourse'!Z67)/$E67/$F67,"")</f>
        <v/>
      </c>
      <c r="O67" s="6">
        <f>IFERROR(('01_Input_Timecourse'!AA67-'01_Input_Timecourse'!AB67)/$E67/$F67,"")</f>
        <v/>
      </c>
      <c r="P67" s="6">
        <f>IFERROR(('01_Input_Timecourse'!AC67-'01_Input_Timecourse'!AD67)/$E67/$F67,"")</f>
        <v/>
      </c>
      <c r="Q67" s="6">
        <f>IFERROR(('01_Input_Timecourse'!AE67-'01_Input_Timecourse'!AF67)/$E67/$F67,"")</f>
        <v/>
      </c>
      <c r="R67" s="6">
        <f>IFERROR(('01_Input_Timecourse'!AH67-'01_Input_Timecourse'!AG67)/$E67/$F67,"")</f>
        <v/>
      </c>
      <c r="S67" s="6">
        <f>IFERROR(('01_Input_Timecourse'!AJ67-'01_Input_Timecourse'!AI67)/$E67/$F67,"")</f>
        <v/>
      </c>
      <c r="T67" s="6">
        <f>IFERROR(('01_Input_Timecourse'!AL67-'01_Input_Timecourse'!AK67)/$E67/$F67,"")</f>
        <v/>
      </c>
      <c r="U67" s="6">
        <f>IFERROR(('01_Input_Timecourse'!AN67-'01_Input_Timecourse'!AM67)/$E67/$F67,"")</f>
        <v/>
      </c>
      <c r="V67" s="2">
        <f>IF(A67="","",IF(OR(E67&lt;=0,F67&lt;=0),"Check time/VCD","OK"))</f>
        <v/>
      </c>
    </row>
    <row r="68">
      <c r="A68" s="2">
        <f>'01_Input_Timecourse'!A68</f>
        <v/>
      </c>
      <c r="B68" s="2">
        <f>'01_Input_Timecourse'!B68</f>
        <v/>
      </c>
      <c r="C68" s="2">
        <f>'01_Input_Timecourse'!C68</f>
        <v/>
      </c>
      <c r="D68" s="2">
        <f>'01_Input_Timecourse'!D68</f>
        <v/>
      </c>
      <c r="E68" s="6">
        <f>IFERROR(('01_Input_Timecourse'!F68-'01_Input_Timecourse'!E68)/24,"")</f>
        <v/>
      </c>
      <c r="F68" s="6">
        <f>IFERROR(AVERAGE('01_Input_Timecourse'!G68:H68),"")</f>
        <v/>
      </c>
      <c r="G68" s="6">
        <f>IFERROR(('01_Input_Timecourse'!K68-'01_Input_Timecourse'!L68)/$E68/$F68,"")</f>
        <v/>
      </c>
      <c r="H68" s="6">
        <f>IFERROR(('01_Input_Timecourse'!N68-'01_Input_Timecourse'!M68)/$E68/$F68,"")</f>
        <v/>
      </c>
      <c r="I68" s="6">
        <f>IFERROR(('01_Input_Timecourse'!O68-'01_Input_Timecourse'!P68)/$E68/$F68,"")</f>
        <v/>
      </c>
      <c r="J68" s="6">
        <f>IFERROR(('01_Input_Timecourse'!R68-'01_Input_Timecourse'!Q68)/$E68/$F68,"")</f>
        <v/>
      </c>
      <c r="K68" s="6">
        <f>IFERROR(('01_Input_Timecourse'!T68-'01_Input_Timecourse'!S68)/$E68/$F68,"")</f>
        <v/>
      </c>
      <c r="L68" s="6">
        <f>IFERROR(('01_Input_Timecourse'!U68-'01_Input_Timecourse'!V68)/$E68/$F68,"")</f>
        <v/>
      </c>
      <c r="M68" s="6">
        <f>IFERROR(('01_Input_Timecourse'!W68-'01_Input_Timecourse'!X68)/$E68/$F68,"")</f>
        <v/>
      </c>
      <c r="N68" s="6">
        <f>IFERROR(('01_Input_Timecourse'!Y68-'01_Input_Timecourse'!Z68)/$E68/$F68,"")</f>
        <v/>
      </c>
      <c r="O68" s="6">
        <f>IFERROR(('01_Input_Timecourse'!AA68-'01_Input_Timecourse'!AB68)/$E68/$F68,"")</f>
        <v/>
      </c>
      <c r="P68" s="6">
        <f>IFERROR(('01_Input_Timecourse'!AC68-'01_Input_Timecourse'!AD68)/$E68/$F68,"")</f>
        <v/>
      </c>
      <c r="Q68" s="6">
        <f>IFERROR(('01_Input_Timecourse'!AE68-'01_Input_Timecourse'!AF68)/$E68/$F68,"")</f>
        <v/>
      </c>
      <c r="R68" s="6">
        <f>IFERROR(('01_Input_Timecourse'!AH68-'01_Input_Timecourse'!AG68)/$E68/$F68,"")</f>
        <v/>
      </c>
      <c r="S68" s="6">
        <f>IFERROR(('01_Input_Timecourse'!AJ68-'01_Input_Timecourse'!AI68)/$E68/$F68,"")</f>
        <v/>
      </c>
      <c r="T68" s="6">
        <f>IFERROR(('01_Input_Timecourse'!AL68-'01_Input_Timecourse'!AK68)/$E68/$F68,"")</f>
        <v/>
      </c>
      <c r="U68" s="6">
        <f>IFERROR(('01_Input_Timecourse'!AN68-'01_Input_Timecourse'!AM68)/$E68/$F68,"")</f>
        <v/>
      </c>
      <c r="V68" s="2">
        <f>IF(A68="","",IF(OR(E68&lt;=0,F68&lt;=0),"Check time/VCD","OK"))</f>
        <v/>
      </c>
    </row>
    <row r="69">
      <c r="A69" s="2">
        <f>'01_Input_Timecourse'!A69</f>
        <v/>
      </c>
      <c r="B69" s="2">
        <f>'01_Input_Timecourse'!B69</f>
        <v/>
      </c>
      <c r="C69" s="2">
        <f>'01_Input_Timecourse'!C69</f>
        <v/>
      </c>
      <c r="D69" s="2">
        <f>'01_Input_Timecourse'!D69</f>
        <v/>
      </c>
      <c r="E69" s="6">
        <f>IFERROR(('01_Input_Timecourse'!F69-'01_Input_Timecourse'!E69)/24,"")</f>
        <v/>
      </c>
      <c r="F69" s="6">
        <f>IFERROR(AVERAGE('01_Input_Timecourse'!G69:H69),"")</f>
        <v/>
      </c>
      <c r="G69" s="6">
        <f>IFERROR(('01_Input_Timecourse'!K69-'01_Input_Timecourse'!L69)/$E69/$F69,"")</f>
        <v/>
      </c>
      <c r="H69" s="6">
        <f>IFERROR(('01_Input_Timecourse'!N69-'01_Input_Timecourse'!M69)/$E69/$F69,"")</f>
        <v/>
      </c>
      <c r="I69" s="6">
        <f>IFERROR(('01_Input_Timecourse'!O69-'01_Input_Timecourse'!P69)/$E69/$F69,"")</f>
        <v/>
      </c>
      <c r="J69" s="6">
        <f>IFERROR(('01_Input_Timecourse'!R69-'01_Input_Timecourse'!Q69)/$E69/$F69,"")</f>
        <v/>
      </c>
      <c r="K69" s="6">
        <f>IFERROR(('01_Input_Timecourse'!T69-'01_Input_Timecourse'!S69)/$E69/$F69,"")</f>
        <v/>
      </c>
      <c r="L69" s="6">
        <f>IFERROR(('01_Input_Timecourse'!U69-'01_Input_Timecourse'!V69)/$E69/$F69,"")</f>
        <v/>
      </c>
      <c r="M69" s="6">
        <f>IFERROR(('01_Input_Timecourse'!W69-'01_Input_Timecourse'!X69)/$E69/$F69,"")</f>
        <v/>
      </c>
      <c r="N69" s="6">
        <f>IFERROR(('01_Input_Timecourse'!Y69-'01_Input_Timecourse'!Z69)/$E69/$F69,"")</f>
        <v/>
      </c>
      <c r="O69" s="6">
        <f>IFERROR(('01_Input_Timecourse'!AA69-'01_Input_Timecourse'!AB69)/$E69/$F69,"")</f>
        <v/>
      </c>
      <c r="P69" s="6">
        <f>IFERROR(('01_Input_Timecourse'!AC69-'01_Input_Timecourse'!AD69)/$E69/$F69,"")</f>
        <v/>
      </c>
      <c r="Q69" s="6">
        <f>IFERROR(('01_Input_Timecourse'!AE69-'01_Input_Timecourse'!AF69)/$E69/$F69,"")</f>
        <v/>
      </c>
      <c r="R69" s="6">
        <f>IFERROR(('01_Input_Timecourse'!AH69-'01_Input_Timecourse'!AG69)/$E69/$F69,"")</f>
        <v/>
      </c>
      <c r="S69" s="6">
        <f>IFERROR(('01_Input_Timecourse'!AJ69-'01_Input_Timecourse'!AI69)/$E69/$F69,"")</f>
        <v/>
      </c>
      <c r="T69" s="6">
        <f>IFERROR(('01_Input_Timecourse'!AL69-'01_Input_Timecourse'!AK69)/$E69/$F69,"")</f>
        <v/>
      </c>
      <c r="U69" s="6">
        <f>IFERROR(('01_Input_Timecourse'!AN69-'01_Input_Timecourse'!AM69)/$E69/$F69,"")</f>
        <v/>
      </c>
      <c r="V69" s="2">
        <f>IF(A69="","",IF(OR(E69&lt;=0,F69&lt;=0),"Check time/VCD","OK"))</f>
        <v/>
      </c>
    </row>
    <row r="70">
      <c r="A70" s="2">
        <f>'01_Input_Timecourse'!A70</f>
        <v/>
      </c>
      <c r="B70" s="2">
        <f>'01_Input_Timecourse'!B70</f>
        <v/>
      </c>
      <c r="C70" s="2">
        <f>'01_Input_Timecourse'!C70</f>
        <v/>
      </c>
      <c r="D70" s="2">
        <f>'01_Input_Timecourse'!D70</f>
        <v/>
      </c>
      <c r="E70" s="6">
        <f>IFERROR(('01_Input_Timecourse'!F70-'01_Input_Timecourse'!E70)/24,"")</f>
        <v/>
      </c>
      <c r="F70" s="6">
        <f>IFERROR(AVERAGE('01_Input_Timecourse'!G70:H70),"")</f>
        <v/>
      </c>
      <c r="G70" s="6">
        <f>IFERROR(('01_Input_Timecourse'!K70-'01_Input_Timecourse'!L70)/$E70/$F70,"")</f>
        <v/>
      </c>
      <c r="H70" s="6">
        <f>IFERROR(('01_Input_Timecourse'!N70-'01_Input_Timecourse'!M70)/$E70/$F70,"")</f>
        <v/>
      </c>
      <c r="I70" s="6">
        <f>IFERROR(('01_Input_Timecourse'!O70-'01_Input_Timecourse'!P70)/$E70/$F70,"")</f>
        <v/>
      </c>
      <c r="J70" s="6">
        <f>IFERROR(('01_Input_Timecourse'!R70-'01_Input_Timecourse'!Q70)/$E70/$F70,"")</f>
        <v/>
      </c>
      <c r="K70" s="6">
        <f>IFERROR(('01_Input_Timecourse'!T70-'01_Input_Timecourse'!S70)/$E70/$F70,"")</f>
        <v/>
      </c>
      <c r="L70" s="6">
        <f>IFERROR(('01_Input_Timecourse'!U70-'01_Input_Timecourse'!V70)/$E70/$F70,"")</f>
        <v/>
      </c>
      <c r="M70" s="6">
        <f>IFERROR(('01_Input_Timecourse'!W70-'01_Input_Timecourse'!X70)/$E70/$F70,"")</f>
        <v/>
      </c>
      <c r="N70" s="6">
        <f>IFERROR(('01_Input_Timecourse'!Y70-'01_Input_Timecourse'!Z70)/$E70/$F70,"")</f>
        <v/>
      </c>
      <c r="O70" s="6">
        <f>IFERROR(('01_Input_Timecourse'!AA70-'01_Input_Timecourse'!AB70)/$E70/$F70,"")</f>
        <v/>
      </c>
      <c r="P70" s="6">
        <f>IFERROR(('01_Input_Timecourse'!AC70-'01_Input_Timecourse'!AD70)/$E70/$F70,"")</f>
        <v/>
      </c>
      <c r="Q70" s="6">
        <f>IFERROR(('01_Input_Timecourse'!AE70-'01_Input_Timecourse'!AF70)/$E70/$F70,"")</f>
        <v/>
      </c>
      <c r="R70" s="6">
        <f>IFERROR(('01_Input_Timecourse'!AH70-'01_Input_Timecourse'!AG70)/$E70/$F70,"")</f>
        <v/>
      </c>
      <c r="S70" s="6">
        <f>IFERROR(('01_Input_Timecourse'!AJ70-'01_Input_Timecourse'!AI70)/$E70/$F70,"")</f>
        <v/>
      </c>
      <c r="T70" s="6">
        <f>IFERROR(('01_Input_Timecourse'!AL70-'01_Input_Timecourse'!AK70)/$E70/$F70,"")</f>
        <v/>
      </c>
      <c r="U70" s="6">
        <f>IFERROR(('01_Input_Timecourse'!AN70-'01_Input_Timecourse'!AM70)/$E70/$F70,"")</f>
        <v/>
      </c>
      <c r="V70" s="2">
        <f>IF(A70="","",IF(OR(E70&lt;=0,F70&lt;=0),"Check time/VCD","OK"))</f>
        <v/>
      </c>
    </row>
    <row r="71">
      <c r="A71" s="2">
        <f>'01_Input_Timecourse'!A71</f>
        <v/>
      </c>
      <c r="B71" s="2">
        <f>'01_Input_Timecourse'!B71</f>
        <v/>
      </c>
      <c r="C71" s="2">
        <f>'01_Input_Timecourse'!C71</f>
        <v/>
      </c>
      <c r="D71" s="2">
        <f>'01_Input_Timecourse'!D71</f>
        <v/>
      </c>
      <c r="E71" s="6">
        <f>IFERROR(('01_Input_Timecourse'!F71-'01_Input_Timecourse'!E71)/24,"")</f>
        <v/>
      </c>
      <c r="F71" s="6">
        <f>IFERROR(AVERAGE('01_Input_Timecourse'!G71:H71),"")</f>
        <v/>
      </c>
      <c r="G71" s="6">
        <f>IFERROR(('01_Input_Timecourse'!K71-'01_Input_Timecourse'!L71)/$E71/$F71,"")</f>
        <v/>
      </c>
      <c r="H71" s="6">
        <f>IFERROR(('01_Input_Timecourse'!N71-'01_Input_Timecourse'!M71)/$E71/$F71,"")</f>
        <v/>
      </c>
      <c r="I71" s="6">
        <f>IFERROR(('01_Input_Timecourse'!O71-'01_Input_Timecourse'!P71)/$E71/$F71,"")</f>
        <v/>
      </c>
      <c r="J71" s="6">
        <f>IFERROR(('01_Input_Timecourse'!R71-'01_Input_Timecourse'!Q71)/$E71/$F71,"")</f>
        <v/>
      </c>
      <c r="K71" s="6">
        <f>IFERROR(('01_Input_Timecourse'!T71-'01_Input_Timecourse'!S71)/$E71/$F71,"")</f>
        <v/>
      </c>
      <c r="L71" s="6">
        <f>IFERROR(('01_Input_Timecourse'!U71-'01_Input_Timecourse'!V71)/$E71/$F71,"")</f>
        <v/>
      </c>
      <c r="M71" s="6">
        <f>IFERROR(('01_Input_Timecourse'!W71-'01_Input_Timecourse'!X71)/$E71/$F71,"")</f>
        <v/>
      </c>
      <c r="N71" s="6">
        <f>IFERROR(('01_Input_Timecourse'!Y71-'01_Input_Timecourse'!Z71)/$E71/$F71,"")</f>
        <v/>
      </c>
      <c r="O71" s="6">
        <f>IFERROR(('01_Input_Timecourse'!AA71-'01_Input_Timecourse'!AB71)/$E71/$F71,"")</f>
        <v/>
      </c>
      <c r="P71" s="6">
        <f>IFERROR(('01_Input_Timecourse'!AC71-'01_Input_Timecourse'!AD71)/$E71/$F71,"")</f>
        <v/>
      </c>
      <c r="Q71" s="6">
        <f>IFERROR(('01_Input_Timecourse'!AE71-'01_Input_Timecourse'!AF71)/$E71/$F71,"")</f>
        <v/>
      </c>
      <c r="R71" s="6">
        <f>IFERROR(('01_Input_Timecourse'!AH71-'01_Input_Timecourse'!AG71)/$E71/$F71,"")</f>
        <v/>
      </c>
      <c r="S71" s="6">
        <f>IFERROR(('01_Input_Timecourse'!AJ71-'01_Input_Timecourse'!AI71)/$E71/$F71,"")</f>
        <v/>
      </c>
      <c r="T71" s="6">
        <f>IFERROR(('01_Input_Timecourse'!AL71-'01_Input_Timecourse'!AK71)/$E71/$F71,"")</f>
        <v/>
      </c>
      <c r="U71" s="6">
        <f>IFERROR(('01_Input_Timecourse'!AN71-'01_Input_Timecourse'!AM71)/$E71/$F71,"")</f>
        <v/>
      </c>
      <c r="V71" s="2">
        <f>IF(A71="","",IF(OR(E71&lt;=0,F71&lt;=0),"Check time/VCD","OK"))</f>
        <v/>
      </c>
    </row>
    <row r="72">
      <c r="A72" s="2">
        <f>'01_Input_Timecourse'!A72</f>
        <v/>
      </c>
      <c r="B72" s="2">
        <f>'01_Input_Timecourse'!B72</f>
        <v/>
      </c>
      <c r="C72" s="2">
        <f>'01_Input_Timecourse'!C72</f>
        <v/>
      </c>
      <c r="D72" s="2">
        <f>'01_Input_Timecourse'!D72</f>
        <v/>
      </c>
      <c r="E72" s="6">
        <f>IFERROR(('01_Input_Timecourse'!F72-'01_Input_Timecourse'!E72)/24,"")</f>
        <v/>
      </c>
      <c r="F72" s="6">
        <f>IFERROR(AVERAGE('01_Input_Timecourse'!G72:H72),"")</f>
        <v/>
      </c>
      <c r="G72" s="6">
        <f>IFERROR(('01_Input_Timecourse'!K72-'01_Input_Timecourse'!L72)/$E72/$F72,"")</f>
        <v/>
      </c>
      <c r="H72" s="6">
        <f>IFERROR(('01_Input_Timecourse'!N72-'01_Input_Timecourse'!M72)/$E72/$F72,"")</f>
        <v/>
      </c>
      <c r="I72" s="6">
        <f>IFERROR(('01_Input_Timecourse'!O72-'01_Input_Timecourse'!P72)/$E72/$F72,"")</f>
        <v/>
      </c>
      <c r="J72" s="6">
        <f>IFERROR(('01_Input_Timecourse'!R72-'01_Input_Timecourse'!Q72)/$E72/$F72,"")</f>
        <v/>
      </c>
      <c r="K72" s="6">
        <f>IFERROR(('01_Input_Timecourse'!T72-'01_Input_Timecourse'!S72)/$E72/$F72,"")</f>
        <v/>
      </c>
      <c r="L72" s="6">
        <f>IFERROR(('01_Input_Timecourse'!U72-'01_Input_Timecourse'!V72)/$E72/$F72,"")</f>
        <v/>
      </c>
      <c r="M72" s="6">
        <f>IFERROR(('01_Input_Timecourse'!W72-'01_Input_Timecourse'!X72)/$E72/$F72,"")</f>
        <v/>
      </c>
      <c r="N72" s="6">
        <f>IFERROR(('01_Input_Timecourse'!Y72-'01_Input_Timecourse'!Z72)/$E72/$F72,"")</f>
        <v/>
      </c>
      <c r="O72" s="6">
        <f>IFERROR(('01_Input_Timecourse'!AA72-'01_Input_Timecourse'!AB72)/$E72/$F72,"")</f>
        <v/>
      </c>
      <c r="P72" s="6">
        <f>IFERROR(('01_Input_Timecourse'!AC72-'01_Input_Timecourse'!AD72)/$E72/$F72,"")</f>
        <v/>
      </c>
      <c r="Q72" s="6">
        <f>IFERROR(('01_Input_Timecourse'!AE72-'01_Input_Timecourse'!AF72)/$E72/$F72,"")</f>
        <v/>
      </c>
      <c r="R72" s="6">
        <f>IFERROR(('01_Input_Timecourse'!AH72-'01_Input_Timecourse'!AG72)/$E72/$F72,"")</f>
        <v/>
      </c>
      <c r="S72" s="6">
        <f>IFERROR(('01_Input_Timecourse'!AJ72-'01_Input_Timecourse'!AI72)/$E72/$F72,"")</f>
        <v/>
      </c>
      <c r="T72" s="6">
        <f>IFERROR(('01_Input_Timecourse'!AL72-'01_Input_Timecourse'!AK72)/$E72/$F72,"")</f>
        <v/>
      </c>
      <c r="U72" s="6">
        <f>IFERROR(('01_Input_Timecourse'!AN72-'01_Input_Timecourse'!AM72)/$E72/$F72,"")</f>
        <v/>
      </c>
      <c r="V72" s="2">
        <f>IF(A72="","",IF(OR(E72&lt;=0,F72&lt;=0),"Check time/VCD","OK"))</f>
        <v/>
      </c>
    </row>
    <row r="73">
      <c r="A73" s="2">
        <f>'01_Input_Timecourse'!A73</f>
        <v/>
      </c>
      <c r="B73" s="2">
        <f>'01_Input_Timecourse'!B73</f>
        <v/>
      </c>
      <c r="C73" s="2">
        <f>'01_Input_Timecourse'!C73</f>
        <v/>
      </c>
      <c r="D73" s="2">
        <f>'01_Input_Timecourse'!D73</f>
        <v/>
      </c>
      <c r="E73" s="6">
        <f>IFERROR(('01_Input_Timecourse'!F73-'01_Input_Timecourse'!E73)/24,"")</f>
        <v/>
      </c>
      <c r="F73" s="6">
        <f>IFERROR(AVERAGE('01_Input_Timecourse'!G73:H73),"")</f>
        <v/>
      </c>
      <c r="G73" s="6">
        <f>IFERROR(('01_Input_Timecourse'!K73-'01_Input_Timecourse'!L73)/$E73/$F73,"")</f>
        <v/>
      </c>
      <c r="H73" s="6">
        <f>IFERROR(('01_Input_Timecourse'!N73-'01_Input_Timecourse'!M73)/$E73/$F73,"")</f>
        <v/>
      </c>
      <c r="I73" s="6">
        <f>IFERROR(('01_Input_Timecourse'!O73-'01_Input_Timecourse'!P73)/$E73/$F73,"")</f>
        <v/>
      </c>
      <c r="J73" s="6">
        <f>IFERROR(('01_Input_Timecourse'!R73-'01_Input_Timecourse'!Q73)/$E73/$F73,"")</f>
        <v/>
      </c>
      <c r="K73" s="6">
        <f>IFERROR(('01_Input_Timecourse'!T73-'01_Input_Timecourse'!S73)/$E73/$F73,"")</f>
        <v/>
      </c>
      <c r="L73" s="6">
        <f>IFERROR(('01_Input_Timecourse'!U73-'01_Input_Timecourse'!V73)/$E73/$F73,"")</f>
        <v/>
      </c>
      <c r="M73" s="6">
        <f>IFERROR(('01_Input_Timecourse'!W73-'01_Input_Timecourse'!X73)/$E73/$F73,"")</f>
        <v/>
      </c>
      <c r="N73" s="6">
        <f>IFERROR(('01_Input_Timecourse'!Y73-'01_Input_Timecourse'!Z73)/$E73/$F73,"")</f>
        <v/>
      </c>
      <c r="O73" s="6">
        <f>IFERROR(('01_Input_Timecourse'!AA73-'01_Input_Timecourse'!AB73)/$E73/$F73,"")</f>
        <v/>
      </c>
      <c r="P73" s="6">
        <f>IFERROR(('01_Input_Timecourse'!AC73-'01_Input_Timecourse'!AD73)/$E73/$F73,"")</f>
        <v/>
      </c>
      <c r="Q73" s="6">
        <f>IFERROR(('01_Input_Timecourse'!AE73-'01_Input_Timecourse'!AF73)/$E73/$F73,"")</f>
        <v/>
      </c>
      <c r="R73" s="6">
        <f>IFERROR(('01_Input_Timecourse'!AH73-'01_Input_Timecourse'!AG73)/$E73/$F73,"")</f>
        <v/>
      </c>
      <c r="S73" s="6">
        <f>IFERROR(('01_Input_Timecourse'!AJ73-'01_Input_Timecourse'!AI73)/$E73/$F73,"")</f>
        <v/>
      </c>
      <c r="T73" s="6">
        <f>IFERROR(('01_Input_Timecourse'!AL73-'01_Input_Timecourse'!AK73)/$E73/$F73,"")</f>
        <v/>
      </c>
      <c r="U73" s="6">
        <f>IFERROR(('01_Input_Timecourse'!AN73-'01_Input_Timecourse'!AM73)/$E73/$F73,"")</f>
        <v/>
      </c>
      <c r="V73" s="2">
        <f>IF(A73="","",IF(OR(E73&lt;=0,F73&lt;=0),"Check time/VCD","OK"))</f>
        <v/>
      </c>
    </row>
    <row r="74">
      <c r="A74" s="2">
        <f>'01_Input_Timecourse'!A74</f>
        <v/>
      </c>
      <c r="B74" s="2">
        <f>'01_Input_Timecourse'!B74</f>
        <v/>
      </c>
      <c r="C74" s="2">
        <f>'01_Input_Timecourse'!C74</f>
        <v/>
      </c>
      <c r="D74" s="2">
        <f>'01_Input_Timecourse'!D74</f>
        <v/>
      </c>
      <c r="E74" s="6">
        <f>IFERROR(('01_Input_Timecourse'!F74-'01_Input_Timecourse'!E74)/24,"")</f>
        <v/>
      </c>
      <c r="F74" s="6">
        <f>IFERROR(AVERAGE('01_Input_Timecourse'!G74:H74),"")</f>
        <v/>
      </c>
      <c r="G74" s="6">
        <f>IFERROR(('01_Input_Timecourse'!K74-'01_Input_Timecourse'!L74)/$E74/$F74,"")</f>
        <v/>
      </c>
      <c r="H74" s="6">
        <f>IFERROR(('01_Input_Timecourse'!N74-'01_Input_Timecourse'!M74)/$E74/$F74,"")</f>
        <v/>
      </c>
      <c r="I74" s="6">
        <f>IFERROR(('01_Input_Timecourse'!O74-'01_Input_Timecourse'!P74)/$E74/$F74,"")</f>
        <v/>
      </c>
      <c r="J74" s="6">
        <f>IFERROR(('01_Input_Timecourse'!R74-'01_Input_Timecourse'!Q74)/$E74/$F74,"")</f>
        <v/>
      </c>
      <c r="K74" s="6">
        <f>IFERROR(('01_Input_Timecourse'!T74-'01_Input_Timecourse'!S74)/$E74/$F74,"")</f>
        <v/>
      </c>
      <c r="L74" s="6">
        <f>IFERROR(('01_Input_Timecourse'!U74-'01_Input_Timecourse'!V74)/$E74/$F74,"")</f>
        <v/>
      </c>
      <c r="M74" s="6">
        <f>IFERROR(('01_Input_Timecourse'!W74-'01_Input_Timecourse'!X74)/$E74/$F74,"")</f>
        <v/>
      </c>
      <c r="N74" s="6">
        <f>IFERROR(('01_Input_Timecourse'!Y74-'01_Input_Timecourse'!Z74)/$E74/$F74,"")</f>
        <v/>
      </c>
      <c r="O74" s="6">
        <f>IFERROR(('01_Input_Timecourse'!AA74-'01_Input_Timecourse'!AB74)/$E74/$F74,"")</f>
        <v/>
      </c>
      <c r="P74" s="6">
        <f>IFERROR(('01_Input_Timecourse'!AC74-'01_Input_Timecourse'!AD74)/$E74/$F74,"")</f>
        <v/>
      </c>
      <c r="Q74" s="6">
        <f>IFERROR(('01_Input_Timecourse'!AE74-'01_Input_Timecourse'!AF74)/$E74/$F74,"")</f>
        <v/>
      </c>
      <c r="R74" s="6">
        <f>IFERROR(('01_Input_Timecourse'!AH74-'01_Input_Timecourse'!AG74)/$E74/$F74,"")</f>
        <v/>
      </c>
      <c r="S74" s="6">
        <f>IFERROR(('01_Input_Timecourse'!AJ74-'01_Input_Timecourse'!AI74)/$E74/$F74,"")</f>
        <v/>
      </c>
      <c r="T74" s="6">
        <f>IFERROR(('01_Input_Timecourse'!AL74-'01_Input_Timecourse'!AK74)/$E74/$F74,"")</f>
        <v/>
      </c>
      <c r="U74" s="6">
        <f>IFERROR(('01_Input_Timecourse'!AN74-'01_Input_Timecourse'!AM74)/$E74/$F74,"")</f>
        <v/>
      </c>
      <c r="V74" s="2">
        <f>IF(A74="","",IF(OR(E74&lt;=0,F74&lt;=0),"Check time/VCD","OK"))</f>
        <v/>
      </c>
    </row>
    <row r="75">
      <c r="A75" s="2">
        <f>'01_Input_Timecourse'!A75</f>
        <v/>
      </c>
      <c r="B75" s="2">
        <f>'01_Input_Timecourse'!B75</f>
        <v/>
      </c>
      <c r="C75" s="2">
        <f>'01_Input_Timecourse'!C75</f>
        <v/>
      </c>
      <c r="D75" s="2">
        <f>'01_Input_Timecourse'!D75</f>
        <v/>
      </c>
      <c r="E75" s="6">
        <f>IFERROR(('01_Input_Timecourse'!F75-'01_Input_Timecourse'!E75)/24,"")</f>
        <v/>
      </c>
      <c r="F75" s="6">
        <f>IFERROR(AVERAGE('01_Input_Timecourse'!G75:H75),"")</f>
        <v/>
      </c>
      <c r="G75" s="6">
        <f>IFERROR(('01_Input_Timecourse'!K75-'01_Input_Timecourse'!L75)/$E75/$F75,"")</f>
        <v/>
      </c>
      <c r="H75" s="6">
        <f>IFERROR(('01_Input_Timecourse'!N75-'01_Input_Timecourse'!M75)/$E75/$F75,"")</f>
        <v/>
      </c>
      <c r="I75" s="6">
        <f>IFERROR(('01_Input_Timecourse'!O75-'01_Input_Timecourse'!P75)/$E75/$F75,"")</f>
        <v/>
      </c>
      <c r="J75" s="6">
        <f>IFERROR(('01_Input_Timecourse'!R75-'01_Input_Timecourse'!Q75)/$E75/$F75,"")</f>
        <v/>
      </c>
      <c r="K75" s="6">
        <f>IFERROR(('01_Input_Timecourse'!T75-'01_Input_Timecourse'!S75)/$E75/$F75,"")</f>
        <v/>
      </c>
      <c r="L75" s="6">
        <f>IFERROR(('01_Input_Timecourse'!U75-'01_Input_Timecourse'!V75)/$E75/$F75,"")</f>
        <v/>
      </c>
      <c r="M75" s="6">
        <f>IFERROR(('01_Input_Timecourse'!W75-'01_Input_Timecourse'!X75)/$E75/$F75,"")</f>
        <v/>
      </c>
      <c r="N75" s="6">
        <f>IFERROR(('01_Input_Timecourse'!Y75-'01_Input_Timecourse'!Z75)/$E75/$F75,"")</f>
        <v/>
      </c>
      <c r="O75" s="6">
        <f>IFERROR(('01_Input_Timecourse'!AA75-'01_Input_Timecourse'!AB75)/$E75/$F75,"")</f>
        <v/>
      </c>
      <c r="P75" s="6">
        <f>IFERROR(('01_Input_Timecourse'!AC75-'01_Input_Timecourse'!AD75)/$E75/$F75,"")</f>
        <v/>
      </c>
      <c r="Q75" s="6">
        <f>IFERROR(('01_Input_Timecourse'!AE75-'01_Input_Timecourse'!AF75)/$E75/$F75,"")</f>
        <v/>
      </c>
      <c r="R75" s="6">
        <f>IFERROR(('01_Input_Timecourse'!AH75-'01_Input_Timecourse'!AG75)/$E75/$F75,"")</f>
        <v/>
      </c>
      <c r="S75" s="6">
        <f>IFERROR(('01_Input_Timecourse'!AJ75-'01_Input_Timecourse'!AI75)/$E75/$F75,"")</f>
        <v/>
      </c>
      <c r="T75" s="6">
        <f>IFERROR(('01_Input_Timecourse'!AL75-'01_Input_Timecourse'!AK75)/$E75/$F75,"")</f>
        <v/>
      </c>
      <c r="U75" s="6">
        <f>IFERROR(('01_Input_Timecourse'!AN75-'01_Input_Timecourse'!AM75)/$E75/$F75,"")</f>
        <v/>
      </c>
      <c r="V75" s="2">
        <f>IF(A75="","",IF(OR(E75&lt;=0,F75&lt;=0),"Check time/VCD","OK"))</f>
        <v/>
      </c>
    </row>
    <row r="76">
      <c r="A76" s="2">
        <f>'01_Input_Timecourse'!A76</f>
        <v/>
      </c>
      <c r="B76" s="2">
        <f>'01_Input_Timecourse'!B76</f>
        <v/>
      </c>
      <c r="C76" s="2">
        <f>'01_Input_Timecourse'!C76</f>
        <v/>
      </c>
      <c r="D76" s="2">
        <f>'01_Input_Timecourse'!D76</f>
        <v/>
      </c>
      <c r="E76" s="6">
        <f>IFERROR(('01_Input_Timecourse'!F76-'01_Input_Timecourse'!E76)/24,"")</f>
        <v/>
      </c>
      <c r="F76" s="6">
        <f>IFERROR(AVERAGE('01_Input_Timecourse'!G76:H76),"")</f>
        <v/>
      </c>
      <c r="G76" s="6">
        <f>IFERROR(('01_Input_Timecourse'!K76-'01_Input_Timecourse'!L76)/$E76/$F76,"")</f>
        <v/>
      </c>
      <c r="H76" s="6">
        <f>IFERROR(('01_Input_Timecourse'!N76-'01_Input_Timecourse'!M76)/$E76/$F76,"")</f>
        <v/>
      </c>
      <c r="I76" s="6">
        <f>IFERROR(('01_Input_Timecourse'!O76-'01_Input_Timecourse'!P76)/$E76/$F76,"")</f>
        <v/>
      </c>
      <c r="J76" s="6">
        <f>IFERROR(('01_Input_Timecourse'!R76-'01_Input_Timecourse'!Q76)/$E76/$F76,"")</f>
        <v/>
      </c>
      <c r="K76" s="6">
        <f>IFERROR(('01_Input_Timecourse'!T76-'01_Input_Timecourse'!S76)/$E76/$F76,"")</f>
        <v/>
      </c>
      <c r="L76" s="6">
        <f>IFERROR(('01_Input_Timecourse'!U76-'01_Input_Timecourse'!V76)/$E76/$F76,"")</f>
        <v/>
      </c>
      <c r="M76" s="6">
        <f>IFERROR(('01_Input_Timecourse'!W76-'01_Input_Timecourse'!X76)/$E76/$F76,"")</f>
        <v/>
      </c>
      <c r="N76" s="6">
        <f>IFERROR(('01_Input_Timecourse'!Y76-'01_Input_Timecourse'!Z76)/$E76/$F76,"")</f>
        <v/>
      </c>
      <c r="O76" s="6">
        <f>IFERROR(('01_Input_Timecourse'!AA76-'01_Input_Timecourse'!AB76)/$E76/$F76,"")</f>
        <v/>
      </c>
      <c r="P76" s="6">
        <f>IFERROR(('01_Input_Timecourse'!AC76-'01_Input_Timecourse'!AD76)/$E76/$F76,"")</f>
        <v/>
      </c>
      <c r="Q76" s="6">
        <f>IFERROR(('01_Input_Timecourse'!AE76-'01_Input_Timecourse'!AF76)/$E76/$F76,"")</f>
        <v/>
      </c>
      <c r="R76" s="6">
        <f>IFERROR(('01_Input_Timecourse'!AH76-'01_Input_Timecourse'!AG76)/$E76/$F76,"")</f>
        <v/>
      </c>
      <c r="S76" s="6">
        <f>IFERROR(('01_Input_Timecourse'!AJ76-'01_Input_Timecourse'!AI76)/$E76/$F76,"")</f>
        <v/>
      </c>
      <c r="T76" s="6">
        <f>IFERROR(('01_Input_Timecourse'!AL76-'01_Input_Timecourse'!AK76)/$E76/$F76,"")</f>
        <v/>
      </c>
      <c r="U76" s="6">
        <f>IFERROR(('01_Input_Timecourse'!AN76-'01_Input_Timecourse'!AM76)/$E76/$F76,"")</f>
        <v/>
      </c>
      <c r="V76" s="2">
        <f>IF(A76="","",IF(OR(E76&lt;=0,F76&lt;=0),"Check time/VCD","OK"))</f>
        <v/>
      </c>
    </row>
    <row r="77">
      <c r="A77" s="2">
        <f>'01_Input_Timecourse'!A77</f>
        <v/>
      </c>
      <c r="B77" s="2">
        <f>'01_Input_Timecourse'!B77</f>
        <v/>
      </c>
      <c r="C77" s="2">
        <f>'01_Input_Timecourse'!C77</f>
        <v/>
      </c>
      <c r="D77" s="2">
        <f>'01_Input_Timecourse'!D77</f>
        <v/>
      </c>
      <c r="E77" s="6">
        <f>IFERROR(('01_Input_Timecourse'!F77-'01_Input_Timecourse'!E77)/24,"")</f>
        <v/>
      </c>
      <c r="F77" s="6">
        <f>IFERROR(AVERAGE('01_Input_Timecourse'!G77:H77),"")</f>
        <v/>
      </c>
      <c r="G77" s="6">
        <f>IFERROR(('01_Input_Timecourse'!K77-'01_Input_Timecourse'!L77)/$E77/$F77,"")</f>
        <v/>
      </c>
      <c r="H77" s="6">
        <f>IFERROR(('01_Input_Timecourse'!N77-'01_Input_Timecourse'!M77)/$E77/$F77,"")</f>
        <v/>
      </c>
      <c r="I77" s="6">
        <f>IFERROR(('01_Input_Timecourse'!O77-'01_Input_Timecourse'!P77)/$E77/$F77,"")</f>
        <v/>
      </c>
      <c r="J77" s="6">
        <f>IFERROR(('01_Input_Timecourse'!R77-'01_Input_Timecourse'!Q77)/$E77/$F77,"")</f>
        <v/>
      </c>
      <c r="K77" s="6">
        <f>IFERROR(('01_Input_Timecourse'!T77-'01_Input_Timecourse'!S77)/$E77/$F77,"")</f>
        <v/>
      </c>
      <c r="L77" s="6">
        <f>IFERROR(('01_Input_Timecourse'!U77-'01_Input_Timecourse'!V77)/$E77/$F77,"")</f>
        <v/>
      </c>
      <c r="M77" s="6">
        <f>IFERROR(('01_Input_Timecourse'!W77-'01_Input_Timecourse'!X77)/$E77/$F77,"")</f>
        <v/>
      </c>
      <c r="N77" s="6">
        <f>IFERROR(('01_Input_Timecourse'!Y77-'01_Input_Timecourse'!Z77)/$E77/$F77,"")</f>
        <v/>
      </c>
      <c r="O77" s="6">
        <f>IFERROR(('01_Input_Timecourse'!AA77-'01_Input_Timecourse'!AB77)/$E77/$F77,"")</f>
        <v/>
      </c>
      <c r="P77" s="6">
        <f>IFERROR(('01_Input_Timecourse'!AC77-'01_Input_Timecourse'!AD77)/$E77/$F77,"")</f>
        <v/>
      </c>
      <c r="Q77" s="6">
        <f>IFERROR(('01_Input_Timecourse'!AE77-'01_Input_Timecourse'!AF77)/$E77/$F77,"")</f>
        <v/>
      </c>
      <c r="R77" s="6">
        <f>IFERROR(('01_Input_Timecourse'!AH77-'01_Input_Timecourse'!AG77)/$E77/$F77,"")</f>
        <v/>
      </c>
      <c r="S77" s="6">
        <f>IFERROR(('01_Input_Timecourse'!AJ77-'01_Input_Timecourse'!AI77)/$E77/$F77,"")</f>
        <v/>
      </c>
      <c r="T77" s="6">
        <f>IFERROR(('01_Input_Timecourse'!AL77-'01_Input_Timecourse'!AK77)/$E77/$F77,"")</f>
        <v/>
      </c>
      <c r="U77" s="6">
        <f>IFERROR(('01_Input_Timecourse'!AN77-'01_Input_Timecourse'!AM77)/$E77/$F77,"")</f>
        <v/>
      </c>
      <c r="V77" s="2">
        <f>IF(A77="","",IF(OR(E77&lt;=0,F77&lt;=0),"Check time/VCD","OK"))</f>
        <v/>
      </c>
    </row>
    <row r="78">
      <c r="A78" s="2">
        <f>'01_Input_Timecourse'!A78</f>
        <v/>
      </c>
      <c r="B78" s="2">
        <f>'01_Input_Timecourse'!B78</f>
        <v/>
      </c>
      <c r="C78" s="2">
        <f>'01_Input_Timecourse'!C78</f>
        <v/>
      </c>
      <c r="D78" s="2">
        <f>'01_Input_Timecourse'!D78</f>
        <v/>
      </c>
      <c r="E78" s="6">
        <f>IFERROR(('01_Input_Timecourse'!F78-'01_Input_Timecourse'!E78)/24,"")</f>
        <v/>
      </c>
      <c r="F78" s="6">
        <f>IFERROR(AVERAGE('01_Input_Timecourse'!G78:H78),"")</f>
        <v/>
      </c>
      <c r="G78" s="6">
        <f>IFERROR(('01_Input_Timecourse'!K78-'01_Input_Timecourse'!L78)/$E78/$F78,"")</f>
        <v/>
      </c>
      <c r="H78" s="6">
        <f>IFERROR(('01_Input_Timecourse'!N78-'01_Input_Timecourse'!M78)/$E78/$F78,"")</f>
        <v/>
      </c>
      <c r="I78" s="6">
        <f>IFERROR(('01_Input_Timecourse'!O78-'01_Input_Timecourse'!P78)/$E78/$F78,"")</f>
        <v/>
      </c>
      <c r="J78" s="6">
        <f>IFERROR(('01_Input_Timecourse'!R78-'01_Input_Timecourse'!Q78)/$E78/$F78,"")</f>
        <v/>
      </c>
      <c r="K78" s="6">
        <f>IFERROR(('01_Input_Timecourse'!T78-'01_Input_Timecourse'!S78)/$E78/$F78,"")</f>
        <v/>
      </c>
      <c r="L78" s="6">
        <f>IFERROR(('01_Input_Timecourse'!U78-'01_Input_Timecourse'!V78)/$E78/$F78,"")</f>
        <v/>
      </c>
      <c r="M78" s="6">
        <f>IFERROR(('01_Input_Timecourse'!W78-'01_Input_Timecourse'!X78)/$E78/$F78,"")</f>
        <v/>
      </c>
      <c r="N78" s="6">
        <f>IFERROR(('01_Input_Timecourse'!Y78-'01_Input_Timecourse'!Z78)/$E78/$F78,"")</f>
        <v/>
      </c>
      <c r="O78" s="6">
        <f>IFERROR(('01_Input_Timecourse'!AA78-'01_Input_Timecourse'!AB78)/$E78/$F78,"")</f>
        <v/>
      </c>
      <c r="P78" s="6">
        <f>IFERROR(('01_Input_Timecourse'!AC78-'01_Input_Timecourse'!AD78)/$E78/$F78,"")</f>
        <v/>
      </c>
      <c r="Q78" s="6">
        <f>IFERROR(('01_Input_Timecourse'!AE78-'01_Input_Timecourse'!AF78)/$E78/$F78,"")</f>
        <v/>
      </c>
      <c r="R78" s="6">
        <f>IFERROR(('01_Input_Timecourse'!AH78-'01_Input_Timecourse'!AG78)/$E78/$F78,"")</f>
        <v/>
      </c>
      <c r="S78" s="6">
        <f>IFERROR(('01_Input_Timecourse'!AJ78-'01_Input_Timecourse'!AI78)/$E78/$F78,"")</f>
        <v/>
      </c>
      <c r="T78" s="6">
        <f>IFERROR(('01_Input_Timecourse'!AL78-'01_Input_Timecourse'!AK78)/$E78/$F78,"")</f>
        <v/>
      </c>
      <c r="U78" s="6">
        <f>IFERROR(('01_Input_Timecourse'!AN78-'01_Input_Timecourse'!AM78)/$E78/$F78,"")</f>
        <v/>
      </c>
      <c r="V78" s="2">
        <f>IF(A78="","",IF(OR(E78&lt;=0,F78&lt;=0),"Check time/VCD","OK"))</f>
        <v/>
      </c>
    </row>
    <row r="79">
      <c r="A79" s="2">
        <f>'01_Input_Timecourse'!A79</f>
        <v/>
      </c>
      <c r="B79" s="2">
        <f>'01_Input_Timecourse'!B79</f>
        <v/>
      </c>
      <c r="C79" s="2">
        <f>'01_Input_Timecourse'!C79</f>
        <v/>
      </c>
      <c r="D79" s="2">
        <f>'01_Input_Timecourse'!D79</f>
        <v/>
      </c>
      <c r="E79" s="6">
        <f>IFERROR(('01_Input_Timecourse'!F79-'01_Input_Timecourse'!E79)/24,"")</f>
        <v/>
      </c>
      <c r="F79" s="6">
        <f>IFERROR(AVERAGE('01_Input_Timecourse'!G79:H79),"")</f>
        <v/>
      </c>
      <c r="G79" s="6">
        <f>IFERROR(('01_Input_Timecourse'!K79-'01_Input_Timecourse'!L79)/$E79/$F79,"")</f>
        <v/>
      </c>
      <c r="H79" s="6">
        <f>IFERROR(('01_Input_Timecourse'!N79-'01_Input_Timecourse'!M79)/$E79/$F79,"")</f>
        <v/>
      </c>
      <c r="I79" s="6">
        <f>IFERROR(('01_Input_Timecourse'!O79-'01_Input_Timecourse'!P79)/$E79/$F79,"")</f>
        <v/>
      </c>
      <c r="J79" s="6">
        <f>IFERROR(('01_Input_Timecourse'!R79-'01_Input_Timecourse'!Q79)/$E79/$F79,"")</f>
        <v/>
      </c>
      <c r="K79" s="6">
        <f>IFERROR(('01_Input_Timecourse'!T79-'01_Input_Timecourse'!S79)/$E79/$F79,"")</f>
        <v/>
      </c>
      <c r="L79" s="6">
        <f>IFERROR(('01_Input_Timecourse'!U79-'01_Input_Timecourse'!V79)/$E79/$F79,"")</f>
        <v/>
      </c>
      <c r="M79" s="6">
        <f>IFERROR(('01_Input_Timecourse'!W79-'01_Input_Timecourse'!X79)/$E79/$F79,"")</f>
        <v/>
      </c>
      <c r="N79" s="6">
        <f>IFERROR(('01_Input_Timecourse'!Y79-'01_Input_Timecourse'!Z79)/$E79/$F79,"")</f>
        <v/>
      </c>
      <c r="O79" s="6">
        <f>IFERROR(('01_Input_Timecourse'!AA79-'01_Input_Timecourse'!AB79)/$E79/$F79,"")</f>
        <v/>
      </c>
      <c r="P79" s="6">
        <f>IFERROR(('01_Input_Timecourse'!AC79-'01_Input_Timecourse'!AD79)/$E79/$F79,"")</f>
        <v/>
      </c>
      <c r="Q79" s="6">
        <f>IFERROR(('01_Input_Timecourse'!AE79-'01_Input_Timecourse'!AF79)/$E79/$F79,"")</f>
        <v/>
      </c>
      <c r="R79" s="6">
        <f>IFERROR(('01_Input_Timecourse'!AH79-'01_Input_Timecourse'!AG79)/$E79/$F79,"")</f>
        <v/>
      </c>
      <c r="S79" s="6">
        <f>IFERROR(('01_Input_Timecourse'!AJ79-'01_Input_Timecourse'!AI79)/$E79/$F79,"")</f>
        <v/>
      </c>
      <c r="T79" s="6">
        <f>IFERROR(('01_Input_Timecourse'!AL79-'01_Input_Timecourse'!AK79)/$E79/$F79,"")</f>
        <v/>
      </c>
      <c r="U79" s="6">
        <f>IFERROR(('01_Input_Timecourse'!AN79-'01_Input_Timecourse'!AM79)/$E79/$F79,"")</f>
        <v/>
      </c>
      <c r="V79" s="2">
        <f>IF(A79="","",IF(OR(E79&lt;=0,F79&lt;=0),"Check time/VCD","OK"))</f>
        <v/>
      </c>
    </row>
    <row r="80">
      <c r="A80" s="2">
        <f>'01_Input_Timecourse'!A80</f>
        <v/>
      </c>
      <c r="B80" s="2">
        <f>'01_Input_Timecourse'!B80</f>
        <v/>
      </c>
      <c r="C80" s="2">
        <f>'01_Input_Timecourse'!C80</f>
        <v/>
      </c>
      <c r="D80" s="2">
        <f>'01_Input_Timecourse'!D80</f>
        <v/>
      </c>
      <c r="E80" s="6">
        <f>IFERROR(('01_Input_Timecourse'!F80-'01_Input_Timecourse'!E80)/24,"")</f>
        <v/>
      </c>
      <c r="F80" s="6">
        <f>IFERROR(AVERAGE('01_Input_Timecourse'!G80:H80),"")</f>
        <v/>
      </c>
      <c r="G80" s="6">
        <f>IFERROR(('01_Input_Timecourse'!K80-'01_Input_Timecourse'!L80)/$E80/$F80,"")</f>
        <v/>
      </c>
      <c r="H80" s="6">
        <f>IFERROR(('01_Input_Timecourse'!N80-'01_Input_Timecourse'!M80)/$E80/$F80,"")</f>
        <v/>
      </c>
      <c r="I80" s="6">
        <f>IFERROR(('01_Input_Timecourse'!O80-'01_Input_Timecourse'!P80)/$E80/$F80,"")</f>
        <v/>
      </c>
      <c r="J80" s="6">
        <f>IFERROR(('01_Input_Timecourse'!R80-'01_Input_Timecourse'!Q80)/$E80/$F80,"")</f>
        <v/>
      </c>
      <c r="K80" s="6">
        <f>IFERROR(('01_Input_Timecourse'!T80-'01_Input_Timecourse'!S80)/$E80/$F80,"")</f>
        <v/>
      </c>
      <c r="L80" s="6">
        <f>IFERROR(('01_Input_Timecourse'!U80-'01_Input_Timecourse'!V80)/$E80/$F80,"")</f>
        <v/>
      </c>
      <c r="M80" s="6">
        <f>IFERROR(('01_Input_Timecourse'!W80-'01_Input_Timecourse'!X80)/$E80/$F80,"")</f>
        <v/>
      </c>
      <c r="N80" s="6">
        <f>IFERROR(('01_Input_Timecourse'!Y80-'01_Input_Timecourse'!Z80)/$E80/$F80,"")</f>
        <v/>
      </c>
      <c r="O80" s="6">
        <f>IFERROR(('01_Input_Timecourse'!AA80-'01_Input_Timecourse'!AB80)/$E80/$F80,"")</f>
        <v/>
      </c>
      <c r="P80" s="6">
        <f>IFERROR(('01_Input_Timecourse'!AC80-'01_Input_Timecourse'!AD80)/$E80/$F80,"")</f>
        <v/>
      </c>
      <c r="Q80" s="6">
        <f>IFERROR(('01_Input_Timecourse'!AE80-'01_Input_Timecourse'!AF80)/$E80/$F80,"")</f>
        <v/>
      </c>
      <c r="R80" s="6">
        <f>IFERROR(('01_Input_Timecourse'!AH80-'01_Input_Timecourse'!AG80)/$E80/$F80,"")</f>
        <v/>
      </c>
      <c r="S80" s="6">
        <f>IFERROR(('01_Input_Timecourse'!AJ80-'01_Input_Timecourse'!AI80)/$E80/$F80,"")</f>
        <v/>
      </c>
      <c r="T80" s="6">
        <f>IFERROR(('01_Input_Timecourse'!AL80-'01_Input_Timecourse'!AK80)/$E80/$F80,"")</f>
        <v/>
      </c>
      <c r="U80" s="6">
        <f>IFERROR(('01_Input_Timecourse'!AN80-'01_Input_Timecourse'!AM80)/$E80/$F80,"")</f>
        <v/>
      </c>
      <c r="V80" s="2">
        <f>IF(A80="","",IF(OR(E80&lt;=0,F80&lt;=0),"Check time/VCD","OK"))</f>
        <v/>
      </c>
    </row>
    <row r="81">
      <c r="A81" s="2">
        <f>'01_Input_Timecourse'!A81</f>
        <v/>
      </c>
      <c r="B81" s="2">
        <f>'01_Input_Timecourse'!B81</f>
        <v/>
      </c>
      <c r="C81" s="2">
        <f>'01_Input_Timecourse'!C81</f>
        <v/>
      </c>
      <c r="D81" s="2">
        <f>'01_Input_Timecourse'!D81</f>
        <v/>
      </c>
      <c r="E81" s="6">
        <f>IFERROR(('01_Input_Timecourse'!F81-'01_Input_Timecourse'!E81)/24,"")</f>
        <v/>
      </c>
      <c r="F81" s="6">
        <f>IFERROR(AVERAGE('01_Input_Timecourse'!G81:H81),"")</f>
        <v/>
      </c>
      <c r="G81" s="6">
        <f>IFERROR(('01_Input_Timecourse'!K81-'01_Input_Timecourse'!L81)/$E81/$F81,"")</f>
        <v/>
      </c>
      <c r="H81" s="6">
        <f>IFERROR(('01_Input_Timecourse'!N81-'01_Input_Timecourse'!M81)/$E81/$F81,"")</f>
        <v/>
      </c>
      <c r="I81" s="6">
        <f>IFERROR(('01_Input_Timecourse'!O81-'01_Input_Timecourse'!P81)/$E81/$F81,"")</f>
        <v/>
      </c>
      <c r="J81" s="6">
        <f>IFERROR(('01_Input_Timecourse'!R81-'01_Input_Timecourse'!Q81)/$E81/$F81,"")</f>
        <v/>
      </c>
      <c r="K81" s="6">
        <f>IFERROR(('01_Input_Timecourse'!T81-'01_Input_Timecourse'!S81)/$E81/$F81,"")</f>
        <v/>
      </c>
      <c r="L81" s="6">
        <f>IFERROR(('01_Input_Timecourse'!U81-'01_Input_Timecourse'!V81)/$E81/$F81,"")</f>
        <v/>
      </c>
      <c r="M81" s="6">
        <f>IFERROR(('01_Input_Timecourse'!W81-'01_Input_Timecourse'!X81)/$E81/$F81,"")</f>
        <v/>
      </c>
      <c r="N81" s="6">
        <f>IFERROR(('01_Input_Timecourse'!Y81-'01_Input_Timecourse'!Z81)/$E81/$F81,"")</f>
        <v/>
      </c>
      <c r="O81" s="6">
        <f>IFERROR(('01_Input_Timecourse'!AA81-'01_Input_Timecourse'!AB81)/$E81/$F81,"")</f>
        <v/>
      </c>
      <c r="P81" s="6">
        <f>IFERROR(('01_Input_Timecourse'!AC81-'01_Input_Timecourse'!AD81)/$E81/$F81,"")</f>
        <v/>
      </c>
      <c r="Q81" s="6">
        <f>IFERROR(('01_Input_Timecourse'!AE81-'01_Input_Timecourse'!AF81)/$E81/$F81,"")</f>
        <v/>
      </c>
      <c r="R81" s="6">
        <f>IFERROR(('01_Input_Timecourse'!AH81-'01_Input_Timecourse'!AG81)/$E81/$F81,"")</f>
        <v/>
      </c>
      <c r="S81" s="6">
        <f>IFERROR(('01_Input_Timecourse'!AJ81-'01_Input_Timecourse'!AI81)/$E81/$F81,"")</f>
        <v/>
      </c>
      <c r="T81" s="6">
        <f>IFERROR(('01_Input_Timecourse'!AL81-'01_Input_Timecourse'!AK81)/$E81/$F81,"")</f>
        <v/>
      </c>
      <c r="U81" s="6">
        <f>IFERROR(('01_Input_Timecourse'!AN81-'01_Input_Timecourse'!AM81)/$E81/$F81,"")</f>
        <v/>
      </c>
      <c r="V81" s="2">
        <f>IF(A81="","",IF(OR(E81&lt;=0,F81&lt;=0),"Check time/VCD","OK"))</f>
        <v/>
      </c>
    </row>
    <row r="82">
      <c r="A82" s="2">
        <f>'01_Input_Timecourse'!A82</f>
        <v/>
      </c>
      <c r="B82" s="2">
        <f>'01_Input_Timecourse'!B82</f>
        <v/>
      </c>
      <c r="C82" s="2">
        <f>'01_Input_Timecourse'!C82</f>
        <v/>
      </c>
      <c r="D82" s="2">
        <f>'01_Input_Timecourse'!D82</f>
        <v/>
      </c>
      <c r="E82" s="6">
        <f>IFERROR(('01_Input_Timecourse'!F82-'01_Input_Timecourse'!E82)/24,"")</f>
        <v/>
      </c>
      <c r="F82" s="6">
        <f>IFERROR(AVERAGE('01_Input_Timecourse'!G82:H82),"")</f>
        <v/>
      </c>
      <c r="G82" s="6">
        <f>IFERROR(('01_Input_Timecourse'!K82-'01_Input_Timecourse'!L82)/$E82/$F82,"")</f>
        <v/>
      </c>
      <c r="H82" s="6">
        <f>IFERROR(('01_Input_Timecourse'!N82-'01_Input_Timecourse'!M82)/$E82/$F82,"")</f>
        <v/>
      </c>
      <c r="I82" s="6">
        <f>IFERROR(('01_Input_Timecourse'!O82-'01_Input_Timecourse'!P82)/$E82/$F82,"")</f>
        <v/>
      </c>
      <c r="J82" s="6">
        <f>IFERROR(('01_Input_Timecourse'!R82-'01_Input_Timecourse'!Q82)/$E82/$F82,"")</f>
        <v/>
      </c>
      <c r="K82" s="6">
        <f>IFERROR(('01_Input_Timecourse'!T82-'01_Input_Timecourse'!S82)/$E82/$F82,"")</f>
        <v/>
      </c>
      <c r="L82" s="6">
        <f>IFERROR(('01_Input_Timecourse'!U82-'01_Input_Timecourse'!V82)/$E82/$F82,"")</f>
        <v/>
      </c>
      <c r="M82" s="6">
        <f>IFERROR(('01_Input_Timecourse'!W82-'01_Input_Timecourse'!X82)/$E82/$F82,"")</f>
        <v/>
      </c>
      <c r="N82" s="6">
        <f>IFERROR(('01_Input_Timecourse'!Y82-'01_Input_Timecourse'!Z82)/$E82/$F82,"")</f>
        <v/>
      </c>
      <c r="O82" s="6">
        <f>IFERROR(('01_Input_Timecourse'!AA82-'01_Input_Timecourse'!AB82)/$E82/$F82,"")</f>
        <v/>
      </c>
      <c r="P82" s="6">
        <f>IFERROR(('01_Input_Timecourse'!AC82-'01_Input_Timecourse'!AD82)/$E82/$F82,"")</f>
        <v/>
      </c>
      <c r="Q82" s="6">
        <f>IFERROR(('01_Input_Timecourse'!AE82-'01_Input_Timecourse'!AF82)/$E82/$F82,"")</f>
        <v/>
      </c>
      <c r="R82" s="6">
        <f>IFERROR(('01_Input_Timecourse'!AH82-'01_Input_Timecourse'!AG82)/$E82/$F82,"")</f>
        <v/>
      </c>
      <c r="S82" s="6">
        <f>IFERROR(('01_Input_Timecourse'!AJ82-'01_Input_Timecourse'!AI82)/$E82/$F82,"")</f>
        <v/>
      </c>
      <c r="T82" s="6">
        <f>IFERROR(('01_Input_Timecourse'!AL82-'01_Input_Timecourse'!AK82)/$E82/$F82,"")</f>
        <v/>
      </c>
      <c r="U82" s="6">
        <f>IFERROR(('01_Input_Timecourse'!AN82-'01_Input_Timecourse'!AM82)/$E82/$F82,"")</f>
        <v/>
      </c>
      <c r="V82" s="2">
        <f>IF(A82="","",IF(OR(E82&lt;=0,F82&lt;=0),"Check time/VCD","OK"))</f>
        <v/>
      </c>
    </row>
    <row r="83">
      <c r="A83" s="2">
        <f>'01_Input_Timecourse'!A83</f>
        <v/>
      </c>
      <c r="B83" s="2">
        <f>'01_Input_Timecourse'!B83</f>
        <v/>
      </c>
      <c r="C83" s="2">
        <f>'01_Input_Timecourse'!C83</f>
        <v/>
      </c>
      <c r="D83" s="2">
        <f>'01_Input_Timecourse'!D83</f>
        <v/>
      </c>
      <c r="E83" s="6">
        <f>IFERROR(('01_Input_Timecourse'!F83-'01_Input_Timecourse'!E83)/24,"")</f>
        <v/>
      </c>
      <c r="F83" s="6">
        <f>IFERROR(AVERAGE('01_Input_Timecourse'!G83:H83),"")</f>
        <v/>
      </c>
      <c r="G83" s="6">
        <f>IFERROR(('01_Input_Timecourse'!K83-'01_Input_Timecourse'!L83)/$E83/$F83,"")</f>
        <v/>
      </c>
      <c r="H83" s="6">
        <f>IFERROR(('01_Input_Timecourse'!N83-'01_Input_Timecourse'!M83)/$E83/$F83,"")</f>
        <v/>
      </c>
      <c r="I83" s="6">
        <f>IFERROR(('01_Input_Timecourse'!O83-'01_Input_Timecourse'!P83)/$E83/$F83,"")</f>
        <v/>
      </c>
      <c r="J83" s="6">
        <f>IFERROR(('01_Input_Timecourse'!R83-'01_Input_Timecourse'!Q83)/$E83/$F83,"")</f>
        <v/>
      </c>
      <c r="K83" s="6">
        <f>IFERROR(('01_Input_Timecourse'!T83-'01_Input_Timecourse'!S83)/$E83/$F83,"")</f>
        <v/>
      </c>
      <c r="L83" s="6">
        <f>IFERROR(('01_Input_Timecourse'!U83-'01_Input_Timecourse'!V83)/$E83/$F83,"")</f>
        <v/>
      </c>
      <c r="M83" s="6">
        <f>IFERROR(('01_Input_Timecourse'!W83-'01_Input_Timecourse'!X83)/$E83/$F83,"")</f>
        <v/>
      </c>
      <c r="N83" s="6">
        <f>IFERROR(('01_Input_Timecourse'!Y83-'01_Input_Timecourse'!Z83)/$E83/$F83,"")</f>
        <v/>
      </c>
      <c r="O83" s="6">
        <f>IFERROR(('01_Input_Timecourse'!AA83-'01_Input_Timecourse'!AB83)/$E83/$F83,"")</f>
        <v/>
      </c>
      <c r="P83" s="6">
        <f>IFERROR(('01_Input_Timecourse'!AC83-'01_Input_Timecourse'!AD83)/$E83/$F83,"")</f>
        <v/>
      </c>
      <c r="Q83" s="6">
        <f>IFERROR(('01_Input_Timecourse'!AE83-'01_Input_Timecourse'!AF83)/$E83/$F83,"")</f>
        <v/>
      </c>
      <c r="R83" s="6">
        <f>IFERROR(('01_Input_Timecourse'!AH83-'01_Input_Timecourse'!AG83)/$E83/$F83,"")</f>
        <v/>
      </c>
      <c r="S83" s="6">
        <f>IFERROR(('01_Input_Timecourse'!AJ83-'01_Input_Timecourse'!AI83)/$E83/$F83,"")</f>
        <v/>
      </c>
      <c r="T83" s="6">
        <f>IFERROR(('01_Input_Timecourse'!AL83-'01_Input_Timecourse'!AK83)/$E83/$F83,"")</f>
        <v/>
      </c>
      <c r="U83" s="6">
        <f>IFERROR(('01_Input_Timecourse'!AN83-'01_Input_Timecourse'!AM83)/$E83/$F83,"")</f>
        <v/>
      </c>
      <c r="V83" s="2">
        <f>IF(A83="","",IF(OR(E83&lt;=0,F83&lt;=0),"Check time/VCD","OK"))</f>
        <v/>
      </c>
    </row>
    <row r="84">
      <c r="A84" s="2">
        <f>'01_Input_Timecourse'!A84</f>
        <v/>
      </c>
      <c r="B84" s="2">
        <f>'01_Input_Timecourse'!B84</f>
        <v/>
      </c>
      <c r="C84" s="2">
        <f>'01_Input_Timecourse'!C84</f>
        <v/>
      </c>
      <c r="D84" s="2">
        <f>'01_Input_Timecourse'!D84</f>
        <v/>
      </c>
      <c r="E84" s="6">
        <f>IFERROR(('01_Input_Timecourse'!F84-'01_Input_Timecourse'!E84)/24,"")</f>
        <v/>
      </c>
      <c r="F84" s="6">
        <f>IFERROR(AVERAGE('01_Input_Timecourse'!G84:H84),"")</f>
        <v/>
      </c>
      <c r="G84" s="6">
        <f>IFERROR(('01_Input_Timecourse'!K84-'01_Input_Timecourse'!L84)/$E84/$F84,"")</f>
        <v/>
      </c>
      <c r="H84" s="6">
        <f>IFERROR(('01_Input_Timecourse'!N84-'01_Input_Timecourse'!M84)/$E84/$F84,"")</f>
        <v/>
      </c>
      <c r="I84" s="6">
        <f>IFERROR(('01_Input_Timecourse'!O84-'01_Input_Timecourse'!P84)/$E84/$F84,"")</f>
        <v/>
      </c>
      <c r="J84" s="6">
        <f>IFERROR(('01_Input_Timecourse'!R84-'01_Input_Timecourse'!Q84)/$E84/$F84,"")</f>
        <v/>
      </c>
      <c r="K84" s="6">
        <f>IFERROR(('01_Input_Timecourse'!T84-'01_Input_Timecourse'!S84)/$E84/$F84,"")</f>
        <v/>
      </c>
      <c r="L84" s="6">
        <f>IFERROR(('01_Input_Timecourse'!U84-'01_Input_Timecourse'!V84)/$E84/$F84,"")</f>
        <v/>
      </c>
      <c r="M84" s="6">
        <f>IFERROR(('01_Input_Timecourse'!W84-'01_Input_Timecourse'!X84)/$E84/$F84,"")</f>
        <v/>
      </c>
      <c r="N84" s="6">
        <f>IFERROR(('01_Input_Timecourse'!Y84-'01_Input_Timecourse'!Z84)/$E84/$F84,"")</f>
        <v/>
      </c>
      <c r="O84" s="6">
        <f>IFERROR(('01_Input_Timecourse'!AA84-'01_Input_Timecourse'!AB84)/$E84/$F84,"")</f>
        <v/>
      </c>
      <c r="P84" s="6">
        <f>IFERROR(('01_Input_Timecourse'!AC84-'01_Input_Timecourse'!AD84)/$E84/$F84,"")</f>
        <v/>
      </c>
      <c r="Q84" s="6">
        <f>IFERROR(('01_Input_Timecourse'!AE84-'01_Input_Timecourse'!AF84)/$E84/$F84,"")</f>
        <v/>
      </c>
      <c r="R84" s="6">
        <f>IFERROR(('01_Input_Timecourse'!AH84-'01_Input_Timecourse'!AG84)/$E84/$F84,"")</f>
        <v/>
      </c>
      <c r="S84" s="6">
        <f>IFERROR(('01_Input_Timecourse'!AJ84-'01_Input_Timecourse'!AI84)/$E84/$F84,"")</f>
        <v/>
      </c>
      <c r="T84" s="6">
        <f>IFERROR(('01_Input_Timecourse'!AL84-'01_Input_Timecourse'!AK84)/$E84/$F84,"")</f>
        <v/>
      </c>
      <c r="U84" s="6">
        <f>IFERROR(('01_Input_Timecourse'!AN84-'01_Input_Timecourse'!AM84)/$E84/$F84,"")</f>
        <v/>
      </c>
      <c r="V84" s="2">
        <f>IF(A84="","",IF(OR(E84&lt;=0,F84&lt;=0),"Check time/VCD","OK"))</f>
        <v/>
      </c>
    </row>
    <row r="85">
      <c r="A85" s="2">
        <f>'01_Input_Timecourse'!A85</f>
        <v/>
      </c>
      <c r="B85" s="2">
        <f>'01_Input_Timecourse'!B85</f>
        <v/>
      </c>
      <c r="C85" s="2">
        <f>'01_Input_Timecourse'!C85</f>
        <v/>
      </c>
      <c r="D85" s="2">
        <f>'01_Input_Timecourse'!D85</f>
        <v/>
      </c>
      <c r="E85" s="6">
        <f>IFERROR(('01_Input_Timecourse'!F85-'01_Input_Timecourse'!E85)/24,"")</f>
        <v/>
      </c>
      <c r="F85" s="6">
        <f>IFERROR(AVERAGE('01_Input_Timecourse'!G85:H85),"")</f>
        <v/>
      </c>
      <c r="G85" s="6">
        <f>IFERROR(('01_Input_Timecourse'!K85-'01_Input_Timecourse'!L85)/$E85/$F85,"")</f>
        <v/>
      </c>
      <c r="H85" s="6">
        <f>IFERROR(('01_Input_Timecourse'!N85-'01_Input_Timecourse'!M85)/$E85/$F85,"")</f>
        <v/>
      </c>
      <c r="I85" s="6">
        <f>IFERROR(('01_Input_Timecourse'!O85-'01_Input_Timecourse'!P85)/$E85/$F85,"")</f>
        <v/>
      </c>
      <c r="J85" s="6">
        <f>IFERROR(('01_Input_Timecourse'!R85-'01_Input_Timecourse'!Q85)/$E85/$F85,"")</f>
        <v/>
      </c>
      <c r="K85" s="6">
        <f>IFERROR(('01_Input_Timecourse'!T85-'01_Input_Timecourse'!S85)/$E85/$F85,"")</f>
        <v/>
      </c>
      <c r="L85" s="6">
        <f>IFERROR(('01_Input_Timecourse'!U85-'01_Input_Timecourse'!V85)/$E85/$F85,"")</f>
        <v/>
      </c>
      <c r="M85" s="6">
        <f>IFERROR(('01_Input_Timecourse'!W85-'01_Input_Timecourse'!X85)/$E85/$F85,"")</f>
        <v/>
      </c>
      <c r="N85" s="6">
        <f>IFERROR(('01_Input_Timecourse'!Y85-'01_Input_Timecourse'!Z85)/$E85/$F85,"")</f>
        <v/>
      </c>
      <c r="O85" s="6">
        <f>IFERROR(('01_Input_Timecourse'!AA85-'01_Input_Timecourse'!AB85)/$E85/$F85,"")</f>
        <v/>
      </c>
      <c r="P85" s="6">
        <f>IFERROR(('01_Input_Timecourse'!AC85-'01_Input_Timecourse'!AD85)/$E85/$F85,"")</f>
        <v/>
      </c>
      <c r="Q85" s="6">
        <f>IFERROR(('01_Input_Timecourse'!AE85-'01_Input_Timecourse'!AF85)/$E85/$F85,"")</f>
        <v/>
      </c>
      <c r="R85" s="6">
        <f>IFERROR(('01_Input_Timecourse'!AH85-'01_Input_Timecourse'!AG85)/$E85/$F85,"")</f>
        <v/>
      </c>
      <c r="S85" s="6">
        <f>IFERROR(('01_Input_Timecourse'!AJ85-'01_Input_Timecourse'!AI85)/$E85/$F85,"")</f>
        <v/>
      </c>
      <c r="T85" s="6">
        <f>IFERROR(('01_Input_Timecourse'!AL85-'01_Input_Timecourse'!AK85)/$E85/$F85,"")</f>
        <v/>
      </c>
      <c r="U85" s="6">
        <f>IFERROR(('01_Input_Timecourse'!AN85-'01_Input_Timecourse'!AM85)/$E85/$F85,"")</f>
        <v/>
      </c>
      <c r="V85" s="2">
        <f>IF(A85="","",IF(OR(E85&lt;=0,F85&lt;=0),"Check time/VCD","OK"))</f>
        <v/>
      </c>
    </row>
    <row r="86">
      <c r="A86" s="2">
        <f>'01_Input_Timecourse'!A86</f>
        <v/>
      </c>
      <c r="B86" s="2">
        <f>'01_Input_Timecourse'!B86</f>
        <v/>
      </c>
      <c r="C86" s="2">
        <f>'01_Input_Timecourse'!C86</f>
        <v/>
      </c>
      <c r="D86" s="2">
        <f>'01_Input_Timecourse'!D86</f>
        <v/>
      </c>
      <c r="E86" s="6">
        <f>IFERROR(('01_Input_Timecourse'!F86-'01_Input_Timecourse'!E86)/24,"")</f>
        <v/>
      </c>
      <c r="F86" s="6">
        <f>IFERROR(AVERAGE('01_Input_Timecourse'!G86:H86),"")</f>
        <v/>
      </c>
      <c r="G86" s="6">
        <f>IFERROR(('01_Input_Timecourse'!K86-'01_Input_Timecourse'!L86)/$E86/$F86,"")</f>
        <v/>
      </c>
      <c r="H86" s="6">
        <f>IFERROR(('01_Input_Timecourse'!N86-'01_Input_Timecourse'!M86)/$E86/$F86,"")</f>
        <v/>
      </c>
      <c r="I86" s="6">
        <f>IFERROR(('01_Input_Timecourse'!O86-'01_Input_Timecourse'!P86)/$E86/$F86,"")</f>
        <v/>
      </c>
      <c r="J86" s="6">
        <f>IFERROR(('01_Input_Timecourse'!R86-'01_Input_Timecourse'!Q86)/$E86/$F86,"")</f>
        <v/>
      </c>
      <c r="K86" s="6">
        <f>IFERROR(('01_Input_Timecourse'!T86-'01_Input_Timecourse'!S86)/$E86/$F86,"")</f>
        <v/>
      </c>
      <c r="L86" s="6">
        <f>IFERROR(('01_Input_Timecourse'!U86-'01_Input_Timecourse'!V86)/$E86/$F86,"")</f>
        <v/>
      </c>
      <c r="M86" s="6">
        <f>IFERROR(('01_Input_Timecourse'!W86-'01_Input_Timecourse'!X86)/$E86/$F86,"")</f>
        <v/>
      </c>
      <c r="N86" s="6">
        <f>IFERROR(('01_Input_Timecourse'!Y86-'01_Input_Timecourse'!Z86)/$E86/$F86,"")</f>
        <v/>
      </c>
      <c r="O86" s="6">
        <f>IFERROR(('01_Input_Timecourse'!AA86-'01_Input_Timecourse'!AB86)/$E86/$F86,"")</f>
        <v/>
      </c>
      <c r="P86" s="6">
        <f>IFERROR(('01_Input_Timecourse'!AC86-'01_Input_Timecourse'!AD86)/$E86/$F86,"")</f>
        <v/>
      </c>
      <c r="Q86" s="6">
        <f>IFERROR(('01_Input_Timecourse'!AE86-'01_Input_Timecourse'!AF86)/$E86/$F86,"")</f>
        <v/>
      </c>
      <c r="R86" s="6">
        <f>IFERROR(('01_Input_Timecourse'!AH86-'01_Input_Timecourse'!AG86)/$E86/$F86,"")</f>
        <v/>
      </c>
      <c r="S86" s="6">
        <f>IFERROR(('01_Input_Timecourse'!AJ86-'01_Input_Timecourse'!AI86)/$E86/$F86,"")</f>
        <v/>
      </c>
      <c r="T86" s="6">
        <f>IFERROR(('01_Input_Timecourse'!AL86-'01_Input_Timecourse'!AK86)/$E86/$F86,"")</f>
        <v/>
      </c>
      <c r="U86" s="6">
        <f>IFERROR(('01_Input_Timecourse'!AN86-'01_Input_Timecourse'!AM86)/$E86/$F86,"")</f>
        <v/>
      </c>
      <c r="V86" s="2">
        <f>IF(A86="","",IF(OR(E86&lt;=0,F86&lt;=0),"Check time/VCD","OK"))</f>
        <v/>
      </c>
    </row>
    <row r="87">
      <c r="A87" s="2">
        <f>'01_Input_Timecourse'!A87</f>
        <v/>
      </c>
      <c r="B87" s="2">
        <f>'01_Input_Timecourse'!B87</f>
        <v/>
      </c>
      <c r="C87" s="2">
        <f>'01_Input_Timecourse'!C87</f>
        <v/>
      </c>
      <c r="D87" s="2">
        <f>'01_Input_Timecourse'!D87</f>
        <v/>
      </c>
      <c r="E87" s="6">
        <f>IFERROR(('01_Input_Timecourse'!F87-'01_Input_Timecourse'!E87)/24,"")</f>
        <v/>
      </c>
      <c r="F87" s="6">
        <f>IFERROR(AVERAGE('01_Input_Timecourse'!G87:H87),"")</f>
        <v/>
      </c>
      <c r="G87" s="6">
        <f>IFERROR(('01_Input_Timecourse'!K87-'01_Input_Timecourse'!L87)/$E87/$F87,"")</f>
        <v/>
      </c>
      <c r="H87" s="6">
        <f>IFERROR(('01_Input_Timecourse'!N87-'01_Input_Timecourse'!M87)/$E87/$F87,"")</f>
        <v/>
      </c>
      <c r="I87" s="6">
        <f>IFERROR(('01_Input_Timecourse'!O87-'01_Input_Timecourse'!P87)/$E87/$F87,"")</f>
        <v/>
      </c>
      <c r="J87" s="6">
        <f>IFERROR(('01_Input_Timecourse'!R87-'01_Input_Timecourse'!Q87)/$E87/$F87,"")</f>
        <v/>
      </c>
      <c r="K87" s="6">
        <f>IFERROR(('01_Input_Timecourse'!T87-'01_Input_Timecourse'!S87)/$E87/$F87,"")</f>
        <v/>
      </c>
      <c r="L87" s="6">
        <f>IFERROR(('01_Input_Timecourse'!U87-'01_Input_Timecourse'!V87)/$E87/$F87,"")</f>
        <v/>
      </c>
      <c r="M87" s="6">
        <f>IFERROR(('01_Input_Timecourse'!W87-'01_Input_Timecourse'!X87)/$E87/$F87,"")</f>
        <v/>
      </c>
      <c r="N87" s="6">
        <f>IFERROR(('01_Input_Timecourse'!Y87-'01_Input_Timecourse'!Z87)/$E87/$F87,"")</f>
        <v/>
      </c>
      <c r="O87" s="6">
        <f>IFERROR(('01_Input_Timecourse'!AA87-'01_Input_Timecourse'!AB87)/$E87/$F87,"")</f>
        <v/>
      </c>
      <c r="P87" s="6">
        <f>IFERROR(('01_Input_Timecourse'!AC87-'01_Input_Timecourse'!AD87)/$E87/$F87,"")</f>
        <v/>
      </c>
      <c r="Q87" s="6">
        <f>IFERROR(('01_Input_Timecourse'!AE87-'01_Input_Timecourse'!AF87)/$E87/$F87,"")</f>
        <v/>
      </c>
      <c r="R87" s="6">
        <f>IFERROR(('01_Input_Timecourse'!AH87-'01_Input_Timecourse'!AG87)/$E87/$F87,"")</f>
        <v/>
      </c>
      <c r="S87" s="6">
        <f>IFERROR(('01_Input_Timecourse'!AJ87-'01_Input_Timecourse'!AI87)/$E87/$F87,"")</f>
        <v/>
      </c>
      <c r="T87" s="6">
        <f>IFERROR(('01_Input_Timecourse'!AL87-'01_Input_Timecourse'!AK87)/$E87/$F87,"")</f>
        <v/>
      </c>
      <c r="U87" s="6">
        <f>IFERROR(('01_Input_Timecourse'!AN87-'01_Input_Timecourse'!AM87)/$E87/$F87,"")</f>
        <v/>
      </c>
      <c r="V87" s="2">
        <f>IF(A87="","",IF(OR(E87&lt;=0,F87&lt;=0),"Check time/VCD","OK"))</f>
        <v/>
      </c>
    </row>
    <row r="88">
      <c r="A88" s="2">
        <f>'01_Input_Timecourse'!A88</f>
        <v/>
      </c>
      <c r="B88" s="2">
        <f>'01_Input_Timecourse'!B88</f>
        <v/>
      </c>
      <c r="C88" s="2">
        <f>'01_Input_Timecourse'!C88</f>
        <v/>
      </c>
      <c r="D88" s="2">
        <f>'01_Input_Timecourse'!D88</f>
        <v/>
      </c>
      <c r="E88" s="6">
        <f>IFERROR(('01_Input_Timecourse'!F88-'01_Input_Timecourse'!E88)/24,"")</f>
        <v/>
      </c>
      <c r="F88" s="6">
        <f>IFERROR(AVERAGE('01_Input_Timecourse'!G88:H88),"")</f>
        <v/>
      </c>
      <c r="G88" s="6">
        <f>IFERROR(('01_Input_Timecourse'!K88-'01_Input_Timecourse'!L88)/$E88/$F88,"")</f>
        <v/>
      </c>
      <c r="H88" s="6">
        <f>IFERROR(('01_Input_Timecourse'!N88-'01_Input_Timecourse'!M88)/$E88/$F88,"")</f>
        <v/>
      </c>
      <c r="I88" s="6">
        <f>IFERROR(('01_Input_Timecourse'!O88-'01_Input_Timecourse'!P88)/$E88/$F88,"")</f>
        <v/>
      </c>
      <c r="J88" s="6">
        <f>IFERROR(('01_Input_Timecourse'!R88-'01_Input_Timecourse'!Q88)/$E88/$F88,"")</f>
        <v/>
      </c>
      <c r="K88" s="6">
        <f>IFERROR(('01_Input_Timecourse'!T88-'01_Input_Timecourse'!S88)/$E88/$F88,"")</f>
        <v/>
      </c>
      <c r="L88" s="6">
        <f>IFERROR(('01_Input_Timecourse'!U88-'01_Input_Timecourse'!V88)/$E88/$F88,"")</f>
        <v/>
      </c>
      <c r="M88" s="6">
        <f>IFERROR(('01_Input_Timecourse'!W88-'01_Input_Timecourse'!X88)/$E88/$F88,"")</f>
        <v/>
      </c>
      <c r="N88" s="6">
        <f>IFERROR(('01_Input_Timecourse'!Y88-'01_Input_Timecourse'!Z88)/$E88/$F88,"")</f>
        <v/>
      </c>
      <c r="O88" s="6">
        <f>IFERROR(('01_Input_Timecourse'!AA88-'01_Input_Timecourse'!AB88)/$E88/$F88,"")</f>
        <v/>
      </c>
      <c r="P88" s="6">
        <f>IFERROR(('01_Input_Timecourse'!AC88-'01_Input_Timecourse'!AD88)/$E88/$F88,"")</f>
        <v/>
      </c>
      <c r="Q88" s="6">
        <f>IFERROR(('01_Input_Timecourse'!AE88-'01_Input_Timecourse'!AF88)/$E88/$F88,"")</f>
        <v/>
      </c>
      <c r="R88" s="6">
        <f>IFERROR(('01_Input_Timecourse'!AH88-'01_Input_Timecourse'!AG88)/$E88/$F88,"")</f>
        <v/>
      </c>
      <c r="S88" s="6">
        <f>IFERROR(('01_Input_Timecourse'!AJ88-'01_Input_Timecourse'!AI88)/$E88/$F88,"")</f>
        <v/>
      </c>
      <c r="T88" s="6">
        <f>IFERROR(('01_Input_Timecourse'!AL88-'01_Input_Timecourse'!AK88)/$E88/$F88,"")</f>
        <v/>
      </c>
      <c r="U88" s="6">
        <f>IFERROR(('01_Input_Timecourse'!AN88-'01_Input_Timecourse'!AM88)/$E88/$F88,"")</f>
        <v/>
      </c>
      <c r="V88" s="2">
        <f>IF(A88="","",IF(OR(E88&lt;=0,F88&lt;=0),"Check time/VCD","OK"))</f>
        <v/>
      </c>
    </row>
    <row r="89">
      <c r="A89" s="2">
        <f>'01_Input_Timecourse'!A89</f>
        <v/>
      </c>
      <c r="B89" s="2">
        <f>'01_Input_Timecourse'!B89</f>
        <v/>
      </c>
      <c r="C89" s="2">
        <f>'01_Input_Timecourse'!C89</f>
        <v/>
      </c>
      <c r="D89" s="2">
        <f>'01_Input_Timecourse'!D89</f>
        <v/>
      </c>
      <c r="E89" s="6">
        <f>IFERROR(('01_Input_Timecourse'!F89-'01_Input_Timecourse'!E89)/24,"")</f>
        <v/>
      </c>
      <c r="F89" s="6">
        <f>IFERROR(AVERAGE('01_Input_Timecourse'!G89:H89),"")</f>
        <v/>
      </c>
      <c r="G89" s="6">
        <f>IFERROR(('01_Input_Timecourse'!K89-'01_Input_Timecourse'!L89)/$E89/$F89,"")</f>
        <v/>
      </c>
      <c r="H89" s="6">
        <f>IFERROR(('01_Input_Timecourse'!N89-'01_Input_Timecourse'!M89)/$E89/$F89,"")</f>
        <v/>
      </c>
      <c r="I89" s="6">
        <f>IFERROR(('01_Input_Timecourse'!O89-'01_Input_Timecourse'!P89)/$E89/$F89,"")</f>
        <v/>
      </c>
      <c r="J89" s="6">
        <f>IFERROR(('01_Input_Timecourse'!R89-'01_Input_Timecourse'!Q89)/$E89/$F89,"")</f>
        <v/>
      </c>
      <c r="K89" s="6">
        <f>IFERROR(('01_Input_Timecourse'!T89-'01_Input_Timecourse'!S89)/$E89/$F89,"")</f>
        <v/>
      </c>
      <c r="L89" s="6">
        <f>IFERROR(('01_Input_Timecourse'!U89-'01_Input_Timecourse'!V89)/$E89/$F89,"")</f>
        <v/>
      </c>
      <c r="M89" s="6">
        <f>IFERROR(('01_Input_Timecourse'!W89-'01_Input_Timecourse'!X89)/$E89/$F89,"")</f>
        <v/>
      </c>
      <c r="N89" s="6">
        <f>IFERROR(('01_Input_Timecourse'!Y89-'01_Input_Timecourse'!Z89)/$E89/$F89,"")</f>
        <v/>
      </c>
      <c r="O89" s="6">
        <f>IFERROR(('01_Input_Timecourse'!AA89-'01_Input_Timecourse'!AB89)/$E89/$F89,"")</f>
        <v/>
      </c>
      <c r="P89" s="6">
        <f>IFERROR(('01_Input_Timecourse'!AC89-'01_Input_Timecourse'!AD89)/$E89/$F89,"")</f>
        <v/>
      </c>
      <c r="Q89" s="6">
        <f>IFERROR(('01_Input_Timecourse'!AE89-'01_Input_Timecourse'!AF89)/$E89/$F89,"")</f>
        <v/>
      </c>
      <c r="R89" s="6">
        <f>IFERROR(('01_Input_Timecourse'!AH89-'01_Input_Timecourse'!AG89)/$E89/$F89,"")</f>
        <v/>
      </c>
      <c r="S89" s="6">
        <f>IFERROR(('01_Input_Timecourse'!AJ89-'01_Input_Timecourse'!AI89)/$E89/$F89,"")</f>
        <v/>
      </c>
      <c r="T89" s="6">
        <f>IFERROR(('01_Input_Timecourse'!AL89-'01_Input_Timecourse'!AK89)/$E89/$F89,"")</f>
        <v/>
      </c>
      <c r="U89" s="6">
        <f>IFERROR(('01_Input_Timecourse'!AN89-'01_Input_Timecourse'!AM89)/$E89/$F89,"")</f>
        <v/>
      </c>
      <c r="V89" s="2">
        <f>IF(A89="","",IF(OR(E89&lt;=0,F89&lt;=0),"Check time/VCD","OK"))</f>
        <v/>
      </c>
    </row>
    <row r="90">
      <c r="A90" s="2">
        <f>'01_Input_Timecourse'!A90</f>
        <v/>
      </c>
      <c r="B90" s="2">
        <f>'01_Input_Timecourse'!B90</f>
        <v/>
      </c>
      <c r="C90" s="2">
        <f>'01_Input_Timecourse'!C90</f>
        <v/>
      </c>
      <c r="D90" s="2">
        <f>'01_Input_Timecourse'!D90</f>
        <v/>
      </c>
      <c r="E90" s="6">
        <f>IFERROR(('01_Input_Timecourse'!F90-'01_Input_Timecourse'!E90)/24,"")</f>
        <v/>
      </c>
      <c r="F90" s="6">
        <f>IFERROR(AVERAGE('01_Input_Timecourse'!G90:H90),"")</f>
        <v/>
      </c>
      <c r="G90" s="6">
        <f>IFERROR(('01_Input_Timecourse'!K90-'01_Input_Timecourse'!L90)/$E90/$F90,"")</f>
        <v/>
      </c>
      <c r="H90" s="6">
        <f>IFERROR(('01_Input_Timecourse'!N90-'01_Input_Timecourse'!M90)/$E90/$F90,"")</f>
        <v/>
      </c>
      <c r="I90" s="6">
        <f>IFERROR(('01_Input_Timecourse'!O90-'01_Input_Timecourse'!P90)/$E90/$F90,"")</f>
        <v/>
      </c>
      <c r="J90" s="6">
        <f>IFERROR(('01_Input_Timecourse'!R90-'01_Input_Timecourse'!Q90)/$E90/$F90,"")</f>
        <v/>
      </c>
      <c r="K90" s="6">
        <f>IFERROR(('01_Input_Timecourse'!T90-'01_Input_Timecourse'!S90)/$E90/$F90,"")</f>
        <v/>
      </c>
      <c r="L90" s="6">
        <f>IFERROR(('01_Input_Timecourse'!U90-'01_Input_Timecourse'!V90)/$E90/$F90,"")</f>
        <v/>
      </c>
      <c r="M90" s="6">
        <f>IFERROR(('01_Input_Timecourse'!W90-'01_Input_Timecourse'!X90)/$E90/$F90,"")</f>
        <v/>
      </c>
      <c r="N90" s="6">
        <f>IFERROR(('01_Input_Timecourse'!Y90-'01_Input_Timecourse'!Z90)/$E90/$F90,"")</f>
        <v/>
      </c>
      <c r="O90" s="6">
        <f>IFERROR(('01_Input_Timecourse'!AA90-'01_Input_Timecourse'!AB90)/$E90/$F90,"")</f>
        <v/>
      </c>
      <c r="P90" s="6">
        <f>IFERROR(('01_Input_Timecourse'!AC90-'01_Input_Timecourse'!AD90)/$E90/$F90,"")</f>
        <v/>
      </c>
      <c r="Q90" s="6">
        <f>IFERROR(('01_Input_Timecourse'!AE90-'01_Input_Timecourse'!AF90)/$E90/$F90,"")</f>
        <v/>
      </c>
      <c r="R90" s="6">
        <f>IFERROR(('01_Input_Timecourse'!AH90-'01_Input_Timecourse'!AG90)/$E90/$F90,"")</f>
        <v/>
      </c>
      <c r="S90" s="6">
        <f>IFERROR(('01_Input_Timecourse'!AJ90-'01_Input_Timecourse'!AI90)/$E90/$F90,"")</f>
        <v/>
      </c>
      <c r="T90" s="6">
        <f>IFERROR(('01_Input_Timecourse'!AL90-'01_Input_Timecourse'!AK90)/$E90/$F90,"")</f>
        <v/>
      </c>
      <c r="U90" s="6">
        <f>IFERROR(('01_Input_Timecourse'!AN90-'01_Input_Timecourse'!AM90)/$E90/$F90,"")</f>
        <v/>
      </c>
      <c r="V90" s="2">
        <f>IF(A90="","",IF(OR(E90&lt;=0,F90&lt;=0),"Check time/VCD","OK"))</f>
        <v/>
      </c>
    </row>
    <row r="91">
      <c r="A91" s="2">
        <f>'01_Input_Timecourse'!A91</f>
        <v/>
      </c>
      <c r="B91" s="2">
        <f>'01_Input_Timecourse'!B91</f>
        <v/>
      </c>
      <c r="C91" s="2">
        <f>'01_Input_Timecourse'!C91</f>
        <v/>
      </c>
      <c r="D91" s="2">
        <f>'01_Input_Timecourse'!D91</f>
        <v/>
      </c>
      <c r="E91" s="6">
        <f>IFERROR(('01_Input_Timecourse'!F91-'01_Input_Timecourse'!E91)/24,"")</f>
        <v/>
      </c>
      <c r="F91" s="6">
        <f>IFERROR(AVERAGE('01_Input_Timecourse'!G91:H91),"")</f>
        <v/>
      </c>
      <c r="G91" s="6">
        <f>IFERROR(('01_Input_Timecourse'!K91-'01_Input_Timecourse'!L91)/$E91/$F91,"")</f>
        <v/>
      </c>
      <c r="H91" s="6">
        <f>IFERROR(('01_Input_Timecourse'!N91-'01_Input_Timecourse'!M91)/$E91/$F91,"")</f>
        <v/>
      </c>
      <c r="I91" s="6">
        <f>IFERROR(('01_Input_Timecourse'!O91-'01_Input_Timecourse'!P91)/$E91/$F91,"")</f>
        <v/>
      </c>
      <c r="J91" s="6">
        <f>IFERROR(('01_Input_Timecourse'!R91-'01_Input_Timecourse'!Q91)/$E91/$F91,"")</f>
        <v/>
      </c>
      <c r="K91" s="6">
        <f>IFERROR(('01_Input_Timecourse'!T91-'01_Input_Timecourse'!S91)/$E91/$F91,"")</f>
        <v/>
      </c>
      <c r="L91" s="6">
        <f>IFERROR(('01_Input_Timecourse'!U91-'01_Input_Timecourse'!V91)/$E91/$F91,"")</f>
        <v/>
      </c>
      <c r="M91" s="6">
        <f>IFERROR(('01_Input_Timecourse'!W91-'01_Input_Timecourse'!X91)/$E91/$F91,"")</f>
        <v/>
      </c>
      <c r="N91" s="6">
        <f>IFERROR(('01_Input_Timecourse'!Y91-'01_Input_Timecourse'!Z91)/$E91/$F91,"")</f>
        <v/>
      </c>
      <c r="O91" s="6">
        <f>IFERROR(('01_Input_Timecourse'!AA91-'01_Input_Timecourse'!AB91)/$E91/$F91,"")</f>
        <v/>
      </c>
      <c r="P91" s="6">
        <f>IFERROR(('01_Input_Timecourse'!AC91-'01_Input_Timecourse'!AD91)/$E91/$F91,"")</f>
        <v/>
      </c>
      <c r="Q91" s="6">
        <f>IFERROR(('01_Input_Timecourse'!AE91-'01_Input_Timecourse'!AF91)/$E91/$F91,"")</f>
        <v/>
      </c>
      <c r="R91" s="6">
        <f>IFERROR(('01_Input_Timecourse'!AH91-'01_Input_Timecourse'!AG91)/$E91/$F91,"")</f>
        <v/>
      </c>
      <c r="S91" s="6">
        <f>IFERROR(('01_Input_Timecourse'!AJ91-'01_Input_Timecourse'!AI91)/$E91/$F91,"")</f>
        <v/>
      </c>
      <c r="T91" s="6">
        <f>IFERROR(('01_Input_Timecourse'!AL91-'01_Input_Timecourse'!AK91)/$E91/$F91,"")</f>
        <v/>
      </c>
      <c r="U91" s="6">
        <f>IFERROR(('01_Input_Timecourse'!AN91-'01_Input_Timecourse'!AM91)/$E91/$F91,"")</f>
        <v/>
      </c>
      <c r="V91" s="2">
        <f>IF(A91="","",IF(OR(E91&lt;=0,F91&lt;=0),"Check time/VCD","OK"))</f>
        <v/>
      </c>
    </row>
    <row r="92">
      <c r="A92" s="2">
        <f>'01_Input_Timecourse'!A92</f>
        <v/>
      </c>
      <c r="B92" s="2">
        <f>'01_Input_Timecourse'!B92</f>
        <v/>
      </c>
      <c r="C92" s="2">
        <f>'01_Input_Timecourse'!C92</f>
        <v/>
      </c>
      <c r="D92" s="2">
        <f>'01_Input_Timecourse'!D92</f>
        <v/>
      </c>
      <c r="E92" s="6">
        <f>IFERROR(('01_Input_Timecourse'!F92-'01_Input_Timecourse'!E92)/24,"")</f>
        <v/>
      </c>
      <c r="F92" s="6">
        <f>IFERROR(AVERAGE('01_Input_Timecourse'!G92:H92),"")</f>
        <v/>
      </c>
      <c r="G92" s="6">
        <f>IFERROR(('01_Input_Timecourse'!K92-'01_Input_Timecourse'!L92)/$E92/$F92,"")</f>
        <v/>
      </c>
      <c r="H92" s="6">
        <f>IFERROR(('01_Input_Timecourse'!N92-'01_Input_Timecourse'!M92)/$E92/$F92,"")</f>
        <v/>
      </c>
      <c r="I92" s="6">
        <f>IFERROR(('01_Input_Timecourse'!O92-'01_Input_Timecourse'!P92)/$E92/$F92,"")</f>
        <v/>
      </c>
      <c r="J92" s="6">
        <f>IFERROR(('01_Input_Timecourse'!R92-'01_Input_Timecourse'!Q92)/$E92/$F92,"")</f>
        <v/>
      </c>
      <c r="K92" s="6">
        <f>IFERROR(('01_Input_Timecourse'!T92-'01_Input_Timecourse'!S92)/$E92/$F92,"")</f>
        <v/>
      </c>
      <c r="L92" s="6">
        <f>IFERROR(('01_Input_Timecourse'!U92-'01_Input_Timecourse'!V92)/$E92/$F92,"")</f>
        <v/>
      </c>
      <c r="M92" s="6">
        <f>IFERROR(('01_Input_Timecourse'!W92-'01_Input_Timecourse'!X92)/$E92/$F92,"")</f>
        <v/>
      </c>
      <c r="N92" s="6">
        <f>IFERROR(('01_Input_Timecourse'!Y92-'01_Input_Timecourse'!Z92)/$E92/$F92,"")</f>
        <v/>
      </c>
      <c r="O92" s="6">
        <f>IFERROR(('01_Input_Timecourse'!AA92-'01_Input_Timecourse'!AB92)/$E92/$F92,"")</f>
        <v/>
      </c>
      <c r="P92" s="6">
        <f>IFERROR(('01_Input_Timecourse'!AC92-'01_Input_Timecourse'!AD92)/$E92/$F92,"")</f>
        <v/>
      </c>
      <c r="Q92" s="6">
        <f>IFERROR(('01_Input_Timecourse'!AE92-'01_Input_Timecourse'!AF92)/$E92/$F92,"")</f>
        <v/>
      </c>
      <c r="R92" s="6">
        <f>IFERROR(('01_Input_Timecourse'!AH92-'01_Input_Timecourse'!AG92)/$E92/$F92,"")</f>
        <v/>
      </c>
      <c r="S92" s="6">
        <f>IFERROR(('01_Input_Timecourse'!AJ92-'01_Input_Timecourse'!AI92)/$E92/$F92,"")</f>
        <v/>
      </c>
      <c r="T92" s="6">
        <f>IFERROR(('01_Input_Timecourse'!AL92-'01_Input_Timecourse'!AK92)/$E92/$F92,"")</f>
        <v/>
      </c>
      <c r="U92" s="6">
        <f>IFERROR(('01_Input_Timecourse'!AN92-'01_Input_Timecourse'!AM92)/$E92/$F92,"")</f>
        <v/>
      </c>
      <c r="V92" s="2">
        <f>IF(A92="","",IF(OR(E92&lt;=0,F92&lt;=0),"Check time/VCD","OK"))</f>
        <v/>
      </c>
    </row>
    <row r="93">
      <c r="A93" s="2">
        <f>'01_Input_Timecourse'!A93</f>
        <v/>
      </c>
      <c r="B93" s="2">
        <f>'01_Input_Timecourse'!B93</f>
        <v/>
      </c>
      <c r="C93" s="2">
        <f>'01_Input_Timecourse'!C93</f>
        <v/>
      </c>
      <c r="D93" s="2">
        <f>'01_Input_Timecourse'!D93</f>
        <v/>
      </c>
      <c r="E93" s="6">
        <f>IFERROR(('01_Input_Timecourse'!F93-'01_Input_Timecourse'!E93)/24,"")</f>
        <v/>
      </c>
      <c r="F93" s="6">
        <f>IFERROR(AVERAGE('01_Input_Timecourse'!G93:H93),"")</f>
        <v/>
      </c>
      <c r="G93" s="6">
        <f>IFERROR(('01_Input_Timecourse'!K93-'01_Input_Timecourse'!L93)/$E93/$F93,"")</f>
        <v/>
      </c>
      <c r="H93" s="6">
        <f>IFERROR(('01_Input_Timecourse'!N93-'01_Input_Timecourse'!M93)/$E93/$F93,"")</f>
        <v/>
      </c>
      <c r="I93" s="6">
        <f>IFERROR(('01_Input_Timecourse'!O93-'01_Input_Timecourse'!P93)/$E93/$F93,"")</f>
        <v/>
      </c>
      <c r="J93" s="6">
        <f>IFERROR(('01_Input_Timecourse'!R93-'01_Input_Timecourse'!Q93)/$E93/$F93,"")</f>
        <v/>
      </c>
      <c r="K93" s="6">
        <f>IFERROR(('01_Input_Timecourse'!T93-'01_Input_Timecourse'!S93)/$E93/$F93,"")</f>
        <v/>
      </c>
      <c r="L93" s="6">
        <f>IFERROR(('01_Input_Timecourse'!U93-'01_Input_Timecourse'!V93)/$E93/$F93,"")</f>
        <v/>
      </c>
      <c r="M93" s="6">
        <f>IFERROR(('01_Input_Timecourse'!W93-'01_Input_Timecourse'!X93)/$E93/$F93,"")</f>
        <v/>
      </c>
      <c r="N93" s="6">
        <f>IFERROR(('01_Input_Timecourse'!Y93-'01_Input_Timecourse'!Z93)/$E93/$F93,"")</f>
        <v/>
      </c>
      <c r="O93" s="6">
        <f>IFERROR(('01_Input_Timecourse'!AA93-'01_Input_Timecourse'!AB93)/$E93/$F93,"")</f>
        <v/>
      </c>
      <c r="P93" s="6">
        <f>IFERROR(('01_Input_Timecourse'!AC93-'01_Input_Timecourse'!AD93)/$E93/$F93,"")</f>
        <v/>
      </c>
      <c r="Q93" s="6">
        <f>IFERROR(('01_Input_Timecourse'!AE93-'01_Input_Timecourse'!AF93)/$E93/$F93,"")</f>
        <v/>
      </c>
      <c r="R93" s="6">
        <f>IFERROR(('01_Input_Timecourse'!AH93-'01_Input_Timecourse'!AG93)/$E93/$F93,"")</f>
        <v/>
      </c>
      <c r="S93" s="6">
        <f>IFERROR(('01_Input_Timecourse'!AJ93-'01_Input_Timecourse'!AI93)/$E93/$F93,"")</f>
        <v/>
      </c>
      <c r="T93" s="6">
        <f>IFERROR(('01_Input_Timecourse'!AL93-'01_Input_Timecourse'!AK93)/$E93/$F93,"")</f>
        <v/>
      </c>
      <c r="U93" s="6">
        <f>IFERROR(('01_Input_Timecourse'!AN93-'01_Input_Timecourse'!AM93)/$E93/$F93,"")</f>
        <v/>
      </c>
      <c r="V93" s="2">
        <f>IF(A93="","",IF(OR(E93&lt;=0,F93&lt;=0),"Check time/VCD","OK"))</f>
        <v/>
      </c>
    </row>
    <row r="94">
      <c r="A94" s="2">
        <f>'01_Input_Timecourse'!A94</f>
        <v/>
      </c>
      <c r="B94" s="2">
        <f>'01_Input_Timecourse'!B94</f>
        <v/>
      </c>
      <c r="C94" s="2">
        <f>'01_Input_Timecourse'!C94</f>
        <v/>
      </c>
      <c r="D94" s="2">
        <f>'01_Input_Timecourse'!D94</f>
        <v/>
      </c>
      <c r="E94" s="6">
        <f>IFERROR(('01_Input_Timecourse'!F94-'01_Input_Timecourse'!E94)/24,"")</f>
        <v/>
      </c>
      <c r="F94" s="6">
        <f>IFERROR(AVERAGE('01_Input_Timecourse'!G94:H94),"")</f>
        <v/>
      </c>
      <c r="G94" s="6">
        <f>IFERROR(('01_Input_Timecourse'!K94-'01_Input_Timecourse'!L94)/$E94/$F94,"")</f>
        <v/>
      </c>
      <c r="H94" s="6">
        <f>IFERROR(('01_Input_Timecourse'!N94-'01_Input_Timecourse'!M94)/$E94/$F94,"")</f>
        <v/>
      </c>
      <c r="I94" s="6">
        <f>IFERROR(('01_Input_Timecourse'!O94-'01_Input_Timecourse'!P94)/$E94/$F94,"")</f>
        <v/>
      </c>
      <c r="J94" s="6">
        <f>IFERROR(('01_Input_Timecourse'!R94-'01_Input_Timecourse'!Q94)/$E94/$F94,"")</f>
        <v/>
      </c>
      <c r="K94" s="6">
        <f>IFERROR(('01_Input_Timecourse'!T94-'01_Input_Timecourse'!S94)/$E94/$F94,"")</f>
        <v/>
      </c>
      <c r="L94" s="6">
        <f>IFERROR(('01_Input_Timecourse'!U94-'01_Input_Timecourse'!V94)/$E94/$F94,"")</f>
        <v/>
      </c>
      <c r="M94" s="6">
        <f>IFERROR(('01_Input_Timecourse'!W94-'01_Input_Timecourse'!X94)/$E94/$F94,"")</f>
        <v/>
      </c>
      <c r="N94" s="6">
        <f>IFERROR(('01_Input_Timecourse'!Y94-'01_Input_Timecourse'!Z94)/$E94/$F94,"")</f>
        <v/>
      </c>
      <c r="O94" s="6">
        <f>IFERROR(('01_Input_Timecourse'!AA94-'01_Input_Timecourse'!AB94)/$E94/$F94,"")</f>
        <v/>
      </c>
      <c r="P94" s="6">
        <f>IFERROR(('01_Input_Timecourse'!AC94-'01_Input_Timecourse'!AD94)/$E94/$F94,"")</f>
        <v/>
      </c>
      <c r="Q94" s="6">
        <f>IFERROR(('01_Input_Timecourse'!AE94-'01_Input_Timecourse'!AF94)/$E94/$F94,"")</f>
        <v/>
      </c>
      <c r="R94" s="6">
        <f>IFERROR(('01_Input_Timecourse'!AH94-'01_Input_Timecourse'!AG94)/$E94/$F94,"")</f>
        <v/>
      </c>
      <c r="S94" s="6">
        <f>IFERROR(('01_Input_Timecourse'!AJ94-'01_Input_Timecourse'!AI94)/$E94/$F94,"")</f>
        <v/>
      </c>
      <c r="T94" s="6">
        <f>IFERROR(('01_Input_Timecourse'!AL94-'01_Input_Timecourse'!AK94)/$E94/$F94,"")</f>
        <v/>
      </c>
      <c r="U94" s="6">
        <f>IFERROR(('01_Input_Timecourse'!AN94-'01_Input_Timecourse'!AM94)/$E94/$F94,"")</f>
        <v/>
      </c>
      <c r="V94" s="2">
        <f>IF(A94="","",IF(OR(E94&lt;=0,F94&lt;=0),"Check time/VCD","OK"))</f>
        <v/>
      </c>
    </row>
    <row r="95">
      <c r="A95" s="2">
        <f>'01_Input_Timecourse'!A95</f>
        <v/>
      </c>
      <c r="B95" s="2">
        <f>'01_Input_Timecourse'!B95</f>
        <v/>
      </c>
      <c r="C95" s="2">
        <f>'01_Input_Timecourse'!C95</f>
        <v/>
      </c>
      <c r="D95" s="2">
        <f>'01_Input_Timecourse'!D95</f>
        <v/>
      </c>
      <c r="E95" s="6">
        <f>IFERROR(('01_Input_Timecourse'!F95-'01_Input_Timecourse'!E95)/24,"")</f>
        <v/>
      </c>
      <c r="F95" s="6">
        <f>IFERROR(AVERAGE('01_Input_Timecourse'!G95:H95),"")</f>
        <v/>
      </c>
      <c r="G95" s="6">
        <f>IFERROR(('01_Input_Timecourse'!K95-'01_Input_Timecourse'!L95)/$E95/$F95,"")</f>
        <v/>
      </c>
      <c r="H95" s="6">
        <f>IFERROR(('01_Input_Timecourse'!N95-'01_Input_Timecourse'!M95)/$E95/$F95,"")</f>
        <v/>
      </c>
      <c r="I95" s="6">
        <f>IFERROR(('01_Input_Timecourse'!O95-'01_Input_Timecourse'!P95)/$E95/$F95,"")</f>
        <v/>
      </c>
      <c r="J95" s="6">
        <f>IFERROR(('01_Input_Timecourse'!R95-'01_Input_Timecourse'!Q95)/$E95/$F95,"")</f>
        <v/>
      </c>
      <c r="K95" s="6">
        <f>IFERROR(('01_Input_Timecourse'!T95-'01_Input_Timecourse'!S95)/$E95/$F95,"")</f>
        <v/>
      </c>
      <c r="L95" s="6">
        <f>IFERROR(('01_Input_Timecourse'!U95-'01_Input_Timecourse'!V95)/$E95/$F95,"")</f>
        <v/>
      </c>
      <c r="M95" s="6">
        <f>IFERROR(('01_Input_Timecourse'!W95-'01_Input_Timecourse'!X95)/$E95/$F95,"")</f>
        <v/>
      </c>
      <c r="N95" s="6">
        <f>IFERROR(('01_Input_Timecourse'!Y95-'01_Input_Timecourse'!Z95)/$E95/$F95,"")</f>
        <v/>
      </c>
      <c r="O95" s="6">
        <f>IFERROR(('01_Input_Timecourse'!AA95-'01_Input_Timecourse'!AB95)/$E95/$F95,"")</f>
        <v/>
      </c>
      <c r="P95" s="6">
        <f>IFERROR(('01_Input_Timecourse'!AC95-'01_Input_Timecourse'!AD95)/$E95/$F95,"")</f>
        <v/>
      </c>
      <c r="Q95" s="6">
        <f>IFERROR(('01_Input_Timecourse'!AE95-'01_Input_Timecourse'!AF95)/$E95/$F95,"")</f>
        <v/>
      </c>
      <c r="R95" s="6">
        <f>IFERROR(('01_Input_Timecourse'!AH95-'01_Input_Timecourse'!AG95)/$E95/$F95,"")</f>
        <v/>
      </c>
      <c r="S95" s="6">
        <f>IFERROR(('01_Input_Timecourse'!AJ95-'01_Input_Timecourse'!AI95)/$E95/$F95,"")</f>
        <v/>
      </c>
      <c r="T95" s="6">
        <f>IFERROR(('01_Input_Timecourse'!AL95-'01_Input_Timecourse'!AK95)/$E95/$F95,"")</f>
        <v/>
      </c>
      <c r="U95" s="6">
        <f>IFERROR(('01_Input_Timecourse'!AN95-'01_Input_Timecourse'!AM95)/$E95/$F95,"")</f>
        <v/>
      </c>
      <c r="V95" s="2">
        <f>IF(A95="","",IF(OR(E95&lt;=0,F95&lt;=0),"Check time/VCD","OK"))</f>
        <v/>
      </c>
    </row>
    <row r="96">
      <c r="A96" s="2">
        <f>'01_Input_Timecourse'!A96</f>
        <v/>
      </c>
      <c r="B96" s="2">
        <f>'01_Input_Timecourse'!B96</f>
        <v/>
      </c>
      <c r="C96" s="2">
        <f>'01_Input_Timecourse'!C96</f>
        <v/>
      </c>
      <c r="D96" s="2">
        <f>'01_Input_Timecourse'!D96</f>
        <v/>
      </c>
      <c r="E96" s="6">
        <f>IFERROR(('01_Input_Timecourse'!F96-'01_Input_Timecourse'!E96)/24,"")</f>
        <v/>
      </c>
      <c r="F96" s="6">
        <f>IFERROR(AVERAGE('01_Input_Timecourse'!G96:H96),"")</f>
        <v/>
      </c>
      <c r="G96" s="6">
        <f>IFERROR(('01_Input_Timecourse'!K96-'01_Input_Timecourse'!L96)/$E96/$F96,"")</f>
        <v/>
      </c>
      <c r="H96" s="6">
        <f>IFERROR(('01_Input_Timecourse'!N96-'01_Input_Timecourse'!M96)/$E96/$F96,"")</f>
        <v/>
      </c>
      <c r="I96" s="6">
        <f>IFERROR(('01_Input_Timecourse'!O96-'01_Input_Timecourse'!P96)/$E96/$F96,"")</f>
        <v/>
      </c>
      <c r="J96" s="6">
        <f>IFERROR(('01_Input_Timecourse'!R96-'01_Input_Timecourse'!Q96)/$E96/$F96,"")</f>
        <v/>
      </c>
      <c r="K96" s="6">
        <f>IFERROR(('01_Input_Timecourse'!T96-'01_Input_Timecourse'!S96)/$E96/$F96,"")</f>
        <v/>
      </c>
      <c r="L96" s="6">
        <f>IFERROR(('01_Input_Timecourse'!U96-'01_Input_Timecourse'!V96)/$E96/$F96,"")</f>
        <v/>
      </c>
      <c r="M96" s="6">
        <f>IFERROR(('01_Input_Timecourse'!W96-'01_Input_Timecourse'!X96)/$E96/$F96,"")</f>
        <v/>
      </c>
      <c r="N96" s="6">
        <f>IFERROR(('01_Input_Timecourse'!Y96-'01_Input_Timecourse'!Z96)/$E96/$F96,"")</f>
        <v/>
      </c>
      <c r="O96" s="6">
        <f>IFERROR(('01_Input_Timecourse'!AA96-'01_Input_Timecourse'!AB96)/$E96/$F96,"")</f>
        <v/>
      </c>
      <c r="P96" s="6">
        <f>IFERROR(('01_Input_Timecourse'!AC96-'01_Input_Timecourse'!AD96)/$E96/$F96,"")</f>
        <v/>
      </c>
      <c r="Q96" s="6">
        <f>IFERROR(('01_Input_Timecourse'!AE96-'01_Input_Timecourse'!AF96)/$E96/$F96,"")</f>
        <v/>
      </c>
      <c r="R96" s="6">
        <f>IFERROR(('01_Input_Timecourse'!AH96-'01_Input_Timecourse'!AG96)/$E96/$F96,"")</f>
        <v/>
      </c>
      <c r="S96" s="6">
        <f>IFERROR(('01_Input_Timecourse'!AJ96-'01_Input_Timecourse'!AI96)/$E96/$F96,"")</f>
        <v/>
      </c>
      <c r="T96" s="6">
        <f>IFERROR(('01_Input_Timecourse'!AL96-'01_Input_Timecourse'!AK96)/$E96/$F96,"")</f>
        <v/>
      </c>
      <c r="U96" s="6">
        <f>IFERROR(('01_Input_Timecourse'!AN96-'01_Input_Timecourse'!AM96)/$E96/$F96,"")</f>
        <v/>
      </c>
      <c r="V96" s="2">
        <f>IF(A96="","",IF(OR(E96&lt;=0,F96&lt;=0),"Check time/VCD","OK"))</f>
        <v/>
      </c>
    </row>
    <row r="97">
      <c r="A97" s="2">
        <f>'01_Input_Timecourse'!A97</f>
        <v/>
      </c>
      <c r="B97" s="2">
        <f>'01_Input_Timecourse'!B97</f>
        <v/>
      </c>
      <c r="C97" s="2">
        <f>'01_Input_Timecourse'!C97</f>
        <v/>
      </c>
      <c r="D97" s="2">
        <f>'01_Input_Timecourse'!D97</f>
        <v/>
      </c>
      <c r="E97" s="6">
        <f>IFERROR(('01_Input_Timecourse'!F97-'01_Input_Timecourse'!E97)/24,"")</f>
        <v/>
      </c>
      <c r="F97" s="6">
        <f>IFERROR(AVERAGE('01_Input_Timecourse'!G97:H97),"")</f>
        <v/>
      </c>
      <c r="G97" s="6">
        <f>IFERROR(('01_Input_Timecourse'!K97-'01_Input_Timecourse'!L97)/$E97/$F97,"")</f>
        <v/>
      </c>
      <c r="H97" s="6">
        <f>IFERROR(('01_Input_Timecourse'!N97-'01_Input_Timecourse'!M97)/$E97/$F97,"")</f>
        <v/>
      </c>
      <c r="I97" s="6">
        <f>IFERROR(('01_Input_Timecourse'!O97-'01_Input_Timecourse'!P97)/$E97/$F97,"")</f>
        <v/>
      </c>
      <c r="J97" s="6">
        <f>IFERROR(('01_Input_Timecourse'!R97-'01_Input_Timecourse'!Q97)/$E97/$F97,"")</f>
        <v/>
      </c>
      <c r="K97" s="6">
        <f>IFERROR(('01_Input_Timecourse'!T97-'01_Input_Timecourse'!S97)/$E97/$F97,"")</f>
        <v/>
      </c>
      <c r="L97" s="6">
        <f>IFERROR(('01_Input_Timecourse'!U97-'01_Input_Timecourse'!V97)/$E97/$F97,"")</f>
        <v/>
      </c>
      <c r="M97" s="6">
        <f>IFERROR(('01_Input_Timecourse'!W97-'01_Input_Timecourse'!X97)/$E97/$F97,"")</f>
        <v/>
      </c>
      <c r="N97" s="6">
        <f>IFERROR(('01_Input_Timecourse'!Y97-'01_Input_Timecourse'!Z97)/$E97/$F97,"")</f>
        <v/>
      </c>
      <c r="O97" s="6">
        <f>IFERROR(('01_Input_Timecourse'!AA97-'01_Input_Timecourse'!AB97)/$E97/$F97,"")</f>
        <v/>
      </c>
      <c r="P97" s="6">
        <f>IFERROR(('01_Input_Timecourse'!AC97-'01_Input_Timecourse'!AD97)/$E97/$F97,"")</f>
        <v/>
      </c>
      <c r="Q97" s="6">
        <f>IFERROR(('01_Input_Timecourse'!AE97-'01_Input_Timecourse'!AF97)/$E97/$F97,"")</f>
        <v/>
      </c>
      <c r="R97" s="6">
        <f>IFERROR(('01_Input_Timecourse'!AH97-'01_Input_Timecourse'!AG97)/$E97/$F97,"")</f>
        <v/>
      </c>
      <c r="S97" s="6">
        <f>IFERROR(('01_Input_Timecourse'!AJ97-'01_Input_Timecourse'!AI97)/$E97/$F97,"")</f>
        <v/>
      </c>
      <c r="T97" s="6">
        <f>IFERROR(('01_Input_Timecourse'!AL97-'01_Input_Timecourse'!AK97)/$E97/$F97,"")</f>
        <v/>
      </c>
      <c r="U97" s="6">
        <f>IFERROR(('01_Input_Timecourse'!AN97-'01_Input_Timecourse'!AM97)/$E97/$F97,"")</f>
        <v/>
      </c>
      <c r="V97" s="2">
        <f>IF(A97="","",IF(OR(E97&lt;=0,F97&lt;=0),"Check time/VCD","OK"))</f>
        <v/>
      </c>
    </row>
    <row r="98">
      <c r="A98" s="2">
        <f>'01_Input_Timecourse'!A98</f>
        <v/>
      </c>
      <c r="B98" s="2">
        <f>'01_Input_Timecourse'!B98</f>
        <v/>
      </c>
      <c r="C98" s="2">
        <f>'01_Input_Timecourse'!C98</f>
        <v/>
      </c>
      <c r="D98" s="2">
        <f>'01_Input_Timecourse'!D98</f>
        <v/>
      </c>
      <c r="E98" s="6">
        <f>IFERROR(('01_Input_Timecourse'!F98-'01_Input_Timecourse'!E98)/24,"")</f>
        <v/>
      </c>
      <c r="F98" s="6">
        <f>IFERROR(AVERAGE('01_Input_Timecourse'!G98:H98),"")</f>
        <v/>
      </c>
      <c r="G98" s="6">
        <f>IFERROR(('01_Input_Timecourse'!K98-'01_Input_Timecourse'!L98)/$E98/$F98,"")</f>
        <v/>
      </c>
      <c r="H98" s="6">
        <f>IFERROR(('01_Input_Timecourse'!N98-'01_Input_Timecourse'!M98)/$E98/$F98,"")</f>
        <v/>
      </c>
      <c r="I98" s="6">
        <f>IFERROR(('01_Input_Timecourse'!O98-'01_Input_Timecourse'!P98)/$E98/$F98,"")</f>
        <v/>
      </c>
      <c r="J98" s="6">
        <f>IFERROR(('01_Input_Timecourse'!R98-'01_Input_Timecourse'!Q98)/$E98/$F98,"")</f>
        <v/>
      </c>
      <c r="K98" s="6">
        <f>IFERROR(('01_Input_Timecourse'!T98-'01_Input_Timecourse'!S98)/$E98/$F98,"")</f>
        <v/>
      </c>
      <c r="L98" s="6">
        <f>IFERROR(('01_Input_Timecourse'!U98-'01_Input_Timecourse'!V98)/$E98/$F98,"")</f>
        <v/>
      </c>
      <c r="M98" s="6">
        <f>IFERROR(('01_Input_Timecourse'!W98-'01_Input_Timecourse'!X98)/$E98/$F98,"")</f>
        <v/>
      </c>
      <c r="N98" s="6">
        <f>IFERROR(('01_Input_Timecourse'!Y98-'01_Input_Timecourse'!Z98)/$E98/$F98,"")</f>
        <v/>
      </c>
      <c r="O98" s="6">
        <f>IFERROR(('01_Input_Timecourse'!AA98-'01_Input_Timecourse'!AB98)/$E98/$F98,"")</f>
        <v/>
      </c>
      <c r="P98" s="6">
        <f>IFERROR(('01_Input_Timecourse'!AC98-'01_Input_Timecourse'!AD98)/$E98/$F98,"")</f>
        <v/>
      </c>
      <c r="Q98" s="6">
        <f>IFERROR(('01_Input_Timecourse'!AE98-'01_Input_Timecourse'!AF98)/$E98/$F98,"")</f>
        <v/>
      </c>
      <c r="R98" s="6">
        <f>IFERROR(('01_Input_Timecourse'!AH98-'01_Input_Timecourse'!AG98)/$E98/$F98,"")</f>
        <v/>
      </c>
      <c r="S98" s="6">
        <f>IFERROR(('01_Input_Timecourse'!AJ98-'01_Input_Timecourse'!AI98)/$E98/$F98,"")</f>
        <v/>
      </c>
      <c r="T98" s="6">
        <f>IFERROR(('01_Input_Timecourse'!AL98-'01_Input_Timecourse'!AK98)/$E98/$F98,"")</f>
        <v/>
      </c>
      <c r="U98" s="6">
        <f>IFERROR(('01_Input_Timecourse'!AN98-'01_Input_Timecourse'!AM98)/$E98/$F98,"")</f>
        <v/>
      </c>
      <c r="V98" s="2">
        <f>IF(A98="","",IF(OR(E98&lt;=0,F98&lt;=0),"Check time/VCD","OK"))</f>
        <v/>
      </c>
    </row>
    <row r="99">
      <c r="A99" s="2">
        <f>'01_Input_Timecourse'!A99</f>
        <v/>
      </c>
      <c r="B99" s="2">
        <f>'01_Input_Timecourse'!B99</f>
        <v/>
      </c>
      <c r="C99" s="2">
        <f>'01_Input_Timecourse'!C99</f>
        <v/>
      </c>
      <c r="D99" s="2">
        <f>'01_Input_Timecourse'!D99</f>
        <v/>
      </c>
      <c r="E99" s="6">
        <f>IFERROR(('01_Input_Timecourse'!F99-'01_Input_Timecourse'!E99)/24,"")</f>
        <v/>
      </c>
      <c r="F99" s="6">
        <f>IFERROR(AVERAGE('01_Input_Timecourse'!G99:H99),"")</f>
        <v/>
      </c>
      <c r="G99" s="6">
        <f>IFERROR(('01_Input_Timecourse'!K99-'01_Input_Timecourse'!L99)/$E99/$F99,"")</f>
        <v/>
      </c>
      <c r="H99" s="6">
        <f>IFERROR(('01_Input_Timecourse'!N99-'01_Input_Timecourse'!M99)/$E99/$F99,"")</f>
        <v/>
      </c>
      <c r="I99" s="6">
        <f>IFERROR(('01_Input_Timecourse'!O99-'01_Input_Timecourse'!P99)/$E99/$F99,"")</f>
        <v/>
      </c>
      <c r="J99" s="6">
        <f>IFERROR(('01_Input_Timecourse'!R99-'01_Input_Timecourse'!Q99)/$E99/$F99,"")</f>
        <v/>
      </c>
      <c r="K99" s="6">
        <f>IFERROR(('01_Input_Timecourse'!T99-'01_Input_Timecourse'!S99)/$E99/$F99,"")</f>
        <v/>
      </c>
      <c r="L99" s="6">
        <f>IFERROR(('01_Input_Timecourse'!U99-'01_Input_Timecourse'!V99)/$E99/$F99,"")</f>
        <v/>
      </c>
      <c r="M99" s="6">
        <f>IFERROR(('01_Input_Timecourse'!W99-'01_Input_Timecourse'!X99)/$E99/$F99,"")</f>
        <v/>
      </c>
      <c r="N99" s="6">
        <f>IFERROR(('01_Input_Timecourse'!Y99-'01_Input_Timecourse'!Z99)/$E99/$F99,"")</f>
        <v/>
      </c>
      <c r="O99" s="6">
        <f>IFERROR(('01_Input_Timecourse'!AA99-'01_Input_Timecourse'!AB99)/$E99/$F99,"")</f>
        <v/>
      </c>
      <c r="P99" s="6">
        <f>IFERROR(('01_Input_Timecourse'!AC99-'01_Input_Timecourse'!AD99)/$E99/$F99,"")</f>
        <v/>
      </c>
      <c r="Q99" s="6">
        <f>IFERROR(('01_Input_Timecourse'!AE99-'01_Input_Timecourse'!AF99)/$E99/$F99,"")</f>
        <v/>
      </c>
      <c r="R99" s="6">
        <f>IFERROR(('01_Input_Timecourse'!AH99-'01_Input_Timecourse'!AG99)/$E99/$F99,"")</f>
        <v/>
      </c>
      <c r="S99" s="6">
        <f>IFERROR(('01_Input_Timecourse'!AJ99-'01_Input_Timecourse'!AI99)/$E99/$F99,"")</f>
        <v/>
      </c>
      <c r="T99" s="6">
        <f>IFERROR(('01_Input_Timecourse'!AL99-'01_Input_Timecourse'!AK99)/$E99/$F99,"")</f>
        <v/>
      </c>
      <c r="U99" s="6">
        <f>IFERROR(('01_Input_Timecourse'!AN99-'01_Input_Timecourse'!AM99)/$E99/$F99,"")</f>
        <v/>
      </c>
      <c r="V99" s="2">
        <f>IF(A99="","",IF(OR(E99&lt;=0,F99&lt;=0),"Check time/VCD","OK"))</f>
        <v/>
      </c>
    </row>
    <row r="100">
      <c r="A100" s="2">
        <f>'01_Input_Timecourse'!A100</f>
        <v/>
      </c>
      <c r="B100" s="2">
        <f>'01_Input_Timecourse'!B100</f>
        <v/>
      </c>
      <c r="C100" s="2">
        <f>'01_Input_Timecourse'!C100</f>
        <v/>
      </c>
      <c r="D100" s="2">
        <f>'01_Input_Timecourse'!D100</f>
        <v/>
      </c>
      <c r="E100" s="6">
        <f>IFERROR(('01_Input_Timecourse'!F100-'01_Input_Timecourse'!E100)/24,"")</f>
        <v/>
      </c>
      <c r="F100" s="6">
        <f>IFERROR(AVERAGE('01_Input_Timecourse'!G100:H100),"")</f>
        <v/>
      </c>
      <c r="G100" s="6">
        <f>IFERROR(('01_Input_Timecourse'!K100-'01_Input_Timecourse'!L100)/$E100/$F100,"")</f>
        <v/>
      </c>
      <c r="H100" s="6">
        <f>IFERROR(('01_Input_Timecourse'!N100-'01_Input_Timecourse'!M100)/$E100/$F100,"")</f>
        <v/>
      </c>
      <c r="I100" s="6">
        <f>IFERROR(('01_Input_Timecourse'!O100-'01_Input_Timecourse'!P100)/$E100/$F100,"")</f>
        <v/>
      </c>
      <c r="J100" s="6">
        <f>IFERROR(('01_Input_Timecourse'!R100-'01_Input_Timecourse'!Q100)/$E100/$F100,"")</f>
        <v/>
      </c>
      <c r="K100" s="6">
        <f>IFERROR(('01_Input_Timecourse'!T100-'01_Input_Timecourse'!S100)/$E100/$F100,"")</f>
        <v/>
      </c>
      <c r="L100" s="6">
        <f>IFERROR(('01_Input_Timecourse'!U100-'01_Input_Timecourse'!V100)/$E100/$F100,"")</f>
        <v/>
      </c>
      <c r="M100" s="6">
        <f>IFERROR(('01_Input_Timecourse'!W100-'01_Input_Timecourse'!X100)/$E100/$F100,"")</f>
        <v/>
      </c>
      <c r="N100" s="6">
        <f>IFERROR(('01_Input_Timecourse'!Y100-'01_Input_Timecourse'!Z100)/$E100/$F100,"")</f>
        <v/>
      </c>
      <c r="O100" s="6">
        <f>IFERROR(('01_Input_Timecourse'!AA100-'01_Input_Timecourse'!AB100)/$E100/$F100,"")</f>
        <v/>
      </c>
      <c r="P100" s="6">
        <f>IFERROR(('01_Input_Timecourse'!AC100-'01_Input_Timecourse'!AD100)/$E100/$F100,"")</f>
        <v/>
      </c>
      <c r="Q100" s="6">
        <f>IFERROR(('01_Input_Timecourse'!AE100-'01_Input_Timecourse'!AF100)/$E100/$F100,"")</f>
        <v/>
      </c>
      <c r="R100" s="6">
        <f>IFERROR(('01_Input_Timecourse'!AH100-'01_Input_Timecourse'!AG100)/$E100/$F100,"")</f>
        <v/>
      </c>
      <c r="S100" s="6">
        <f>IFERROR(('01_Input_Timecourse'!AJ100-'01_Input_Timecourse'!AI100)/$E100/$F100,"")</f>
        <v/>
      </c>
      <c r="T100" s="6">
        <f>IFERROR(('01_Input_Timecourse'!AL100-'01_Input_Timecourse'!AK100)/$E100/$F100,"")</f>
        <v/>
      </c>
      <c r="U100" s="6">
        <f>IFERROR(('01_Input_Timecourse'!AN100-'01_Input_Timecourse'!AM100)/$E100/$F100,"")</f>
        <v/>
      </c>
      <c r="V100" s="2">
        <f>IF(A100="","",IF(OR(E100&lt;=0,F100&lt;=0),"Check time/VCD","OK"))</f>
        <v/>
      </c>
    </row>
    <row r="101">
      <c r="A101" s="2">
        <f>'01_Input_Timecourse'!A101</f>
        <v/>
      </c>
      <c r="B101" s="2">
        <f>'01_Input_Timecourse'!B101</f>
        <v/>
      </c>
      <c r="C101" s="2">
        <f>'01_Input_Timecourse'!C101</f>
        <v/>
      </c>
      <c r="D101" s="2">
        <f>'01_Input_Timecourse'!D101</f>
        <v/>
      </c>
      <c r="E101" s="6">
        <f>IFERROR(('01_Input_Timecourse'!F101-'01_Input_Timecourse'!E101)/24,"")</f>
        <v/>
      </c>
      <c r="F101" s="6">
        <f>IFERROR(AVERAGE('01_Input_Timecourse'!G101:H101),"")</f>
        <v/>
      </c>
      <c r="G101" s="6">
        <f>IFERROR(('01_Input_Timecourse'!K101-'01_Input_Timecourse'!L101)/$E101/$F101,"")</f>
        <v/>
      </c>
      <c r="H101" s="6">
        <f>IFERROR(('01_Input_Timecourse'!N101-'01_Input_Timecourse'!M101)/$E101/$F101,"")</f>
        <v/>
      </c>
      <c r="I101" s="6">
        <f>IFERROR(('01_Input_Timecourse'!O101-'01_Input_Timecourse'!P101)/$E101/$F101,"")</f>
        <v/>
      </c>
      <c r="J101" s="6">
        <f>IFERROR(('01_Input_Timecourse'!R101-'01_Input_Timecourse'!Q101)/$E101/$F101,"")</f>
        <v/>
      </c>
      <c r="K101" s="6">
        <f>IFERROR(('01_Input_Timecourse'!T101-'01_Input_Timecourse'!S101)/$E101/$F101,"")</f>
        <v/>
      </c>
      <c r="L101" s="6">
        <f>IFERROR(('01_Input_Timecourse'!U101-'01_Input_Timecourse'!V101)/$E101/$F101,"")</f>
        <v/>
      </c>
      <c r="M101" s="6">
        <f>IFERROR(('01_Input_Timecourse'!W101-'01_Input_Timecourse'!X101)/$E101/$F101,"")</f>
        <v/>
      </c>
      <c r="N101" s="6">
        <f>IFERROR(('01_Input_Timecourse'!Y101-'01_Input_Timecourse'!Z101)/$E101/$F101,"")</f>
        <v/>
      </c>
      <c r="O101" s="6">
        <f>IFERROR(('01_Input_Timecourse'!AA101-'01_Input_Timecourse'!AB101)/$E101/$F101,"")</f>
        <v/>
      </c>
      <c r="P101" s="6">
        <f>IFERROR(('01_Input_Timecourse'!AC101-'01_Input_Timecourse'!AD101)/$E101/$F101,"")</f>
        <v/>
      </c>
      <c r="Q101" s="6">
        <f>IFERROR(('01_Input_Timecourse'!AE101-'01_Input_Timecourse'!AF101)/$E101/$F101,"")</f>
        <v/>
      </c>
      <c r="R101" s="6">
        <f>IFERROR(('01_Input_Timecourse'!AH101-'01_Input_Timecourse'!AG101)/$E101/$F101,"")</f>
        <v/>
      </c>
      <c r="S101" s="6">
        <f>IFERROR(('01_Input_Timecourse'!AJ101-'01_Input_Timecourse'!AI101)/$E101/$F101,"")</f>
        <v/>
      </c>
      <c r="T101" s="6">
        <f>IFERROR(('01_Input_Timecourse'!AL101-'01_Input_Timecourse'!AK101)/$E101/$F101,"")</f>
        <v/>
      </c>
      <c r="U101" s="6">
        <f>IFERROR(('01_Input_Timecourse'!AN101-'01_Input_Timecourse'!AM101)/$E101/$F101,"")</f>
        <v/>
      </c>
      <c r="V101" s="2">
        <f>IF(A101="","",IF(OR(E101&lt;=0,F101&lt;=0),"Check time/VCD","OK"))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4" t="inlineStr">
        <is>
          <t>Sample_ID</t>
        </is>
      </c>
      <c r="B1" s="4" t="inlineStr">
        <is>
          <t>Clone</t>
        </is>
      </c>
      <c r="C1" s="4" t="inlineStr">
        <is>
          <t>Group</t>
        </is>
      </c>
      <c r="D1" s="4" t="inlineStr">
        <is>
          <t>Phase</t>
        </is>
      </c>
      <c r="E1" s="4" t="inlineStr">
        <is>
          <t>GLC_uptake</t>
        </is>
      </c>
      <c r="F1" s="4" t="inlineStr">
        <is>
          <t>Glycolysis_to_PYR_proxy</t>
        </is>
      </c>
      <c r="G1" s="4" t="inlineStr">
        <is>
          <t>Lactate_branch</t>
        </is>
      </c>
      <c r="H1" s="4" t="inlineStr">
        <is>
          <t>Alanine_branch</t>
        </is>
      </c>
      <c r="I1" s="4" t="inlineStr">
        <is>
          <t>PYR_to_TCA_proxy</t>
        </is>
      </c>
      <c r="J1" s="4" t="inlineStr">
        <is>
          <t>GLN_uptake</t>
        </is>
      </c>
      <c r="K1" s="4" t="inlineStr">
        <is>
          <t>GLU_secretion</t>
        </is>
      </c>
      <c r="L1" s="4" t="inlineStr">
        <is>
          <t>Glutaminolysis_to_TCA_proxy</t>
        </is>
      </c>
      <c r="M1" s="4" t="inlineStr">
        <is>
          <t>TCA_input_proxy</t>
        </is>
      </c>
      <c r="N1" s="4" t="inlineStr">
        <is>
          <t>AA_uptake_sum_proxy</t>
        </is>
      </c>
      <c r="O1" s="4" t="inlineStr">
        <is>
          <t>Asp_Mal_shuttle_proxy</t>
        </is>
      </c>
      <c r="P1" s="4" t="inlineStr">
        <is>
          <t>NH4_burden</t>
        </is>
      </c>
      <c r="Q1" s="4" t="inlineStr">
        <is>
          <t>Redox_overflow_ratio</t>
        </is>
      </c>
      <c r="R1" s="4" t="inlineStr">
        <is>
          <t>Interpretation_flag</t>
        </is>
      </c>
    </row>
    <row r="2">
      <c r="A2" s="2">
        <f>'02_Exchange_Flux'!A2</f>
        <v/>
      </c>
      <c r="B2" s="2">
        <f>'02_Exchange_Flux'!B2</f>
        <v/>
      </c>
      <c r="C2" s="2">
        <f>'02_Exchange_Flux'!C2</f>
        <v/>
      </c>
      <c r="D2" s="2">
        <f>'02_Exchange_Flux'!D2</f>
        <v/>
      </c>
      <c r="E2" s="6">
        <f>'02_Exchange_Flux'!G2</f>
        <v/>
      </c>
      <c r="F2" s="6">
        <f>IFERROR(E2*2,"")</f>
        <v/>
      </c>
      <c r="G2" s="6">
        <f>'02_Exchange_Flux'!H2</f>
        <v/>
      </c>
      <c r="H2" s="6">
        <f>'02_Exchange_Flux'!K2</f>
        <v/>
      </c>
      <c r="I2" s="6">
        <f>IFERROR(MAX(0,F2-G2-H2),"")</f>
        <v/>
      </c>
      <c r="J2" s="6">
        <f>'02_Exchange_Flux'!I2</f>
        <v/>
      </c>
      <c r="K2" s="6">
        <f>'02_Exchange_Flux'!J2</f>
        <v/>
      </c>
      <c r="L2" s="6">
        <f>IFERROR(MAX(0,J2-K2),"")</f>
        <v/>
      </c>
      <c r="M2" s="6">
        <f>IFERROR(I2+L2,"")</f>
        <v/>
      </c>
      <c r="N2" s="6">
        <f>IFERROR(SUM('02_Exchange_Flux'!L2:Q2),"")</f>
        <v/>
      </c>
      <c r="O2" s="6">
        <f>IFERROR(ABS('02_Exchange_Flux'!M2)+ABS('02_Exchange_Flux'!S2),"")</f>
        <v/>
      </c>
      <c r="P2" s="6">
        <f>'02_Exchange_Flux'!R2</f>
        <v/>
      </c>
      <c r="Q2" s="6">
        <f>IFERROR(G2/F2,"")</f>
        <v/>
      </c>
      <c r="R2" s="2">
        <f>IF(A2="","",IF(Q2&gt;0.7,"High lactate overflow",IF(M2&gt;L2,"TCA-biased proxy","Balanced/Review")))</f>
        <v/>
      </c>
    </row>
    <row r="3">
      <c r="A3" s="2">
        <f>'02_Exchange_Flux'!A3</f>
        <v/>
      </c>
      <c r="B3" s="2">
        <f>'02_Exchange_Flux'!B3</f>
        <v/>
      </c>
      <c r="C3" s="2">
        <f>'02_Exchange_Flux'!C3</f>
        <v/>
      </c>
      <c r="D3" s="2">
        <f>'02_Exchange_Flux'!D3</f>
        <v/>
      </c>
      <c r="E3" s="6">
        <f>'02_Exchange_Flux'!G3</f>
        <v/>
      </c>
      <c r="F3" s="6">
        <f>IFERROR(E3*2,"")</f>
        <v/>
      </c>
      <c r="G3" s="6">
        <f>'02_Exchange_Flux'!H3</f>
        <v/>
      </c>
      <c r="H3" s="6">
        <f>'02_Exchange_Flux'!K3</f>
        <v/>
      </c>
      <c r="I3" s="6">
        <f>IFERROR(MAX(0,F3-G3-H3),"")</f>
        <v/>
      </c>
      <c r="J3" s="6">
        <f>'02_Exchange_Flux'!I3</f>
        <v/>
      </c>
      <c r="K3" s="6">
        <f>'02_Exchange_Flux'!J3</f>
        <v/>
      </c>
      <c r="L3" s="6">
        <f>IFERROR(MAX(0,J3-K3),"")</f>
        <v/>
      </c>
      <c r="M3" s="6">
        <f>IFERROR(I3+L3,"")</f>
        <v/>
      </c>
      <c r="N3" s="6">
        <f>IFERROR(SUM('02_Exchange_Flux'!L3:Q3),"")</f>
        <v/>
      </c>
      <c r="O3" s="6">
        <f>IFERROR(ABS('02_Exchange_Flux'!M3)+ABS('02_Exchange_Flux'!S3),"")</f>
        <v/>
      </c>
      <c r="P3" s="6">
        <f>'02_Exchange_Flux'!R3</f>
        <v/>
      </c>
      <c r="Q3" s="6">
        <f>IFERROR(G3/F3,"")</f>
        <v/>
      </c>
      <c r="R3" s="2">
        <f>IF(A3="","",IF(Q3&gt;0.7,"High lactate overflow",IF(M3&gt;L3,"TCA-biased proxy","Balanced/Review")))</f>
        <v/>
      </c>
    </row>
    <row r="4">
      <c r="A4" s="2">
        <f>'02_Exchange_Flux'!A4</f>
        <v/>
      </c>
      <c r="B4" s="2">
        <f>'02_Exchange_Flux'!B4</f>
        <v/>
      </c>
      <c r="C4" s="2">
        <f>'02_Exchange_Flux'!C4</f>
        <v/>
      </c>
      <c r="D4" s="2">
        <f>'02_Exchange_Flux'!D4</f>
        <v/>
      </c>
      <c r="E4" s="6">
        <f>'02_Exchange_Flux'!G4</f>
        <v/>
      </c>
      <c r="F4" s="6">
        <f>IFERROR(E4*2,"")</f>
        <v/>
      </c>
      <c r="G4" s="6">
        <f>'02_Exchange_Flux'!H4</f>
        <v/>
      </c>
      <c r="H4" s="6">
        <f>'02_Exchange_Flux'!K4</f>
        <v/>
      </c>
      <c r="I4" s="6">
        <f>IFERROR(MAX(0,F4-G4-H4),"")</f>
        <v/>
      </c>
      <c r="J4" s="6">
        <f>'02_Exchange_Flux'!I4</f>
        <v/>
      </c>
      <c r="K4" s="6">
        <f>'02_Exchange_Flux'!J4</f>
        <v/>
      </c>
      <c r="L4" s="6">
        <f>IFERROR(MAX(0,J4-K4),"")</f>
        <v/>
      </c>
      <c r="M4" s="6">
        <f>IFERROR(I4+L4,"")</f>
        <v/>
      </c>
      <c r="N4" s="6">
        <f>IFERROR(SUM('02_Exchange_Flux'!L4:Q4),"")</f>
        <v/>
      </c>
      <c r="O4" s="6">
        <f>IFERROR(ABS('02_Exchange_Flux'!M4)+ABS('02_Exchange_Flux'!S4),"")</f>
        <v/>
      </c>
      <c r="P4" s="6">
        <f>'02_Exchange_Flux'!R4</f>
        <v/>
      </c>
      <c r="Q4" s="6">
        <f>IFERROR(G4/F4,"")</f>
        <v/>
      </c>
      <c r="R4" s="2">
        <f>IF(A4="","",IF(Q4&gt;0.7,"High lactate overflow",IF(M4&gt;L4,"TCA-biased proxy","Balanced/Review")))</f>
        <v/>
      </c>
    </row>
    <row r="5">
      <c r="A5" s="2">
        <f>'02_Exchange_Flux'!A5</f>
        <v/>
      </c>
      <c r="B5" s="2">
        <f>'02_Exchange_Flux'!B5</f>
        <v/>
      </c>
      <c r="C5" s="2">
        <f>'02_Exchange_Flux'!C5</f>
        <v/>
      </c>
      <c r="D5" s="2">
        <f>'02_Exchange_Flux'!D5</f>
        <v/>
      </c>
      <c r="E5" s="6">
        <f>'02_Exchange_Flux'!G5</f>
        <v/>
      </c>
      <c r="F5" s="6">
        <f>IFERROR(E5*2,"")</f>
        <v/>
      </c>
      <c r="G5" s="6">
        <f>'02_Exchange_Flux'!H5</f>
        <v/>
      </c>
      <c r="H5" s="6">
        <f>'02_Exchange_Flux'!K5</f>
        <v/>
      </c>
      <c r="I5" s="6">
        <f>IFERROR(MAX(0,F5-G5-H5),"")</f>
        <v/>
      </c>
      <c r="J5" s="6">
        <f>'02_Exchange_Flux'!I5</f>
        <v/>
      </c>
      <c r="K5" s="6">
        <f>'02_Exchange_Flux'!J5</f>
        <v/>
      </c>
      <c r="L5" s="6">
        <f>IFERROR(MAX(0,J5-K5),"")</f>
        <v/>
      </c>
      <c r="M5" s="6">
        <f>IFERROR(I5+L5,"")</f>
        <v/>
      </c>
      <c r="N5" s="6">
        <f>IFERROR(SUM('02_Exchange_Flux'!L5:Q5),"")</f>
        <v/>
      </c>
      <c r="O5" s="6">
        <f>IFERROR(ABS('02_Exchange_Flux'!M5)+ABS('02_Exchange_Flux'!S5),"")</f>
        <v/>
      </c>
      <c r="P5" s="6">
        <f>'02_Exchange_Flux'!R5</f>
        <v/>
      </c>
      <c r="Q5" s="6">
        <f>IFERROR(G5/F5,"")</f>
        <v/>
      </c>
      <c r="R5" s="2">
        <f>IF(A5="","",IF(Q5&gt;0.7,"High lactate overflow",IF(M5&gt;L5,"TCA-biased proxy","Balanced/Review")))</f>
        <v/>
      </c>
    </row>
    <row r="6">
      <c r="A6" s="2">
        <f>'02_Exchange_Flux'!A6</f>
        <v/>
      </c>
      <c r="B6" s="2">
        <f>'02_Exchange_Flux'!B6</f>
        <v/>
      </c>
      <c r="C6" s="2">
        <f>'02_Exchange_Flux'!C6</f>
        <v/>
      </c>
      <c r="D6" s="2">
        <f>'02_Exchange_Flux'!D6</f>
        <v/>
      </c>
      <c r="E6" s="6">
        <f>'02_Exchange_Flux'!G6</f>
        <v/>
      </c>
      <c r="F6" s="6">
        <f>IFERROR(E6*2,"")</f>
        <v/>
      </c>
      <c r="G6" s="6">
        <f>'02_Exchange_Flux'!H6</f>
        <v/>
      </c>
      <c r="H6" s="6">
        <f>'02_Exchange_Flux'!K6</f>
        <v/>
      </c>
      <c r="I6" s="6">
        <f>IFERROR(MAX(0,F6-G6-H6),"")</f>
        <v/>
      </c>
      <c r="J6" s="6">
        <f>'02_Exchange_Flux'!I6</f>
        <v/>
      </c>
      <c r="K6" s="6">
        <f>'02_Exchange_Flux'!J6</f>
        <v/>
      </c>
      <c r="L6" s="6">
        <f>IFERROR(MAX(0,J6-K6),"")</f>
        <v/>
      </c>
      <c r="M6" s="6">
        <f>IFERROR(I6+L6,"")</f>
        <v/>
      </c>
      <c r="N6" s="6">
        <f>IFERROR(SUM('02_Exchange_Flux'!L6:Q6),"")</f>
        <v/>
      </c>
      <c r="O6" s="6">
        <f>IFERROR(ABS('02_Exchange_Flux'!M6)+ABS('02_Exchange_Flux'!S6),"")</f>
        <v/>
      </c>
      <c r="P6" s="6">
        <f>'02_Exchange_Flux'!R6</f>
        <v/>
      </c>
      <c r="Q6" s="6">
        <f>IFERROR(G6/F6,"")</f>
        <v/>
      </c>
      <c r="R6" s="2">
        <f>IF(A6="","",IF(Q6&gt;0.7,"High lactate overflow",IF(M6&gt;L6,"TCA-biased proxy","Balanced/Review")))</f>
        <v/>
      </c>
    </row>
    <row r="7">
      <c r="A7" s="2">
        <f>'02_Exchange_Flux'!A7</f>
        <v/>
      </c>
      <c r="B7" s="2">
        <f>'02_Exchange_Flux'!B7</f>
        <v/>
      </c>
      <c r="C7" s="2">
        <f>'02_Exchange_Flux'!C7</f>
        <v/>
      </c>
      <c r="D7" s="2">
        <f>'02_Exchange_Flux'!D7</f>
        <v/>
      </c>
      <c r="E7" s="6">
        <f>'02_Exchange_Flux'!G7</f>
        <v/>
      </c>
      <c r="F7" s="6">
        <f>IFERROR(E7*2,"")</f>
        <v/>
      </c>
      <c r="G7" s="6">
        <f>'02_Exchange_Flux'!H7</f>
        <v/>
      </c>
      <c r="H7" s="6">
        <f>'02_Exchange_Flux'!K7</f>
        <v/>
      </c>
      <c r="I7" s="6">
        <f>IFERROR(MAX(0,F7-G7-H7),"")</f>
        <v/>
      </c>
      <c r="J7" s="6">
        <f>'02_Exchange_Flux'!I7</f>
        <v/>
      </c>
      <c r="K7" s="6">
        <f>'02_Exchange_Flux'!J7</f>
        <v/>
      </c>
      <c r="L7" s="6">
        <f>IFERROR(MAX(0,J7-K7),"")</f>
        <v/>
      </c>
      <c r="M7" s="6">
        <f>IFERROR(I7+L7,"")</f>
        <v/>
      </c>
      <c r="N7" s="6">
        <f>IFERROR(SUM('02_Exchange_Flux'!L7:Q7),"")</f>
        <v/>
      </c>
      <c r="O7" s="6">
        <f>IFERROR(ABS('02_Exchange_Flux'!M7)+ABS('02_Exchange_Flux'!S7),"")</f>
        <v/>
      </c>
      <c r="P7" s="6">
        <f>'02_Exchange_Flux'!R7</f>
        <v/>
      </c>
      <c r="Q7" s="6">
        <f>IFERROR(G7/F7,"")</f>
        <v/>
      </c>
      <c r="R7" s="2">
        <f>IF(A7="","",IF(Q7&gt;0.7,"High lactate overflow",IF(M7&gt;L7,"TCA-biased proxy","Balanced/Review")))</f>
        <v/>
      </c>
    </row>
    <row r="8">
      <c r="A8" s="2">
        <f>'02_Exchange_Flux'!A8</f>
        <v/>
      </c>
      <c r="B8" s="2">
        <f>'02_Exchange_Flux'!B8</f>
        <v/>
      </c>
      <c r="C8" s="2">
        <f>'02_Exchange_Flux'!C8</f>
        <v/>
      </c>
      <c r="D8" s="2">
        <f>'02_Exchange_Flux'!D8</f>
        <v/>
      </c>
      <c r="E8" s="6">
        <f>'02_Exchange_Flux'!G8</f>
        <v/>
      </c>
      <c r="F8" s="6">
        <f>IFERROR(E8*2,"")</f>
        <v/>
      </c>
      <c r="G8" s="6">
        <f>'02_Exchange_Flux'!H8</f>
        <v/>
      </c>
      <c r="H8" s="6">
        <f>'02_Exchange_Flux'!K8</f>
        <v/>
      </c>
      <c r="I8" s="6">
        <f>IFERROR(MAX(0,F8-G8-H8),"")</f>
        <v/>
      </c>
      <c r="J8" s="6">
        <f>'02_Exchange_Flux'!I8</f>
        <v/>
      </c>
      <c r="K8" s="6">
        <f>'02_Exchange_Flux'!J8</f>
        <v/>
      </c>
      <c r="L8" s="6">
        <f>IFERROR(MAX(0,J8-K8),"")</f>
        <v/>
      </c>
      <c r="M8" s="6">
        <f>IFERROR(I8+L8,"")</f>
        <v/>
      </c>
      <c r="N8" s="6">
        <f>IFERROR(SUM('02_Exchange_Flux'!L8:Q8),"")</f>
        <v/>
      </c>
      <c r="O8" s="6">
        <f>IFERROR(ABS('02_Exchange_Flux'!M8)+ABS('02_Exchange_Flux'!S8),"")</f>
        <v/>
      </c>
      <c r="P8" s="6">
        <f>'02_Exchange_Flux'!R8</f>
        <v/>
      </c>
      <c r="Q8" s="6">
        <f>IFERROR(G8/F8,"")</f>
        <v/>
      </c>
      <c r="R8" s="2">
        <f>IF(A8="","",IF(Q8&gt;0.7,"High lactate overflow",IF(M8&gt;L8,"TCA-biased proxy","Balanced/Review")))</f>
        <v/>
      </c>
    </row>
    <row r="9">
      <c r="A9" s="2">
        <f>'02_Exchange_Flux'!A9</f>
        <v/>
      </c>
      <c r="B9" s="2">
        <f>'02_Exchange_Flux'!B9</f>
        <v/>
      </c>
      <c r="C9" s="2">
        <f>'02_Exchange_Flux'!C9</f>
        <v/>
      </c>
      <c r="D9" s="2">
        <f>'02_Exchange_Flux'!D9</f>
        <v/>
      </c>
      <c r="E9" s="6">
        <f>'02_Exchange_Flux'!G9</f>
        <v/>
      </c>
      <c r="F9" s="6">
        <f>IFERROR(E9*2,"")</f>
        <v/>
      </c>
      <c r="G9" s="6">
        <f>'02_Exchange_Flux'!H9</f>
        <v/>
      </c>
      <c r="H9" s="6">
        <f>'02_Exchange_Flux'!K9</f>
        <v/>
      </c>
      <c r="I9" s="6">
        <f>IFERROR(MAX(0,F9-G9-H9),"")</f>
        <v/>
      </c>
      <c r="J9" s="6">
        <f>'02_Exchange_Flux'!I9</f>
        <v/>
      </c>
      <c r="K9" s="6">
        <f>'02_Exchange_Flux'!J9</f>
        <v/>
      </c>
      <c r="L9" s="6">
        <f>IFERROR(MAX(0,J9-K9),"")</f>
        <v/>
      </c>
      <c r="M9" s="6">
        <f>IFERROR(I9+L9,"")</f>
        <v/>
      </c>
      <c r="N9" s="6">
        <f>IFERROR(SUM('02_Exchange_Flux'!L9:Q9),"")</f>
        <v/>
      </c>
      <c r="O9" s="6">
        <f>IFERROR(ABS('02_Exchange_Flux'!M9)+ABS('02_Exchange_Flux'!S9),"")</f>
        <v/>
      </c>
      <c r="P9" s="6">
        <f>'02_Exchange_Flux'!R9</f>
        <v/>
      </c>
      <c r="Q9" s="6">
        <f>IFERROR(G9/F9,"")</f>
        <v/>
      </c>
      <c r="R9" s="2">
        <f>IF(A9="","",IF(Q9&gt;0.7,"High lactate overflow",IF(M9&gt;L9,"TCA-biased proxy","Balanced/Review")))</f>
        <v/>
      </c>
    </row>
    <row r="10">
      <c r="A10" s="2">
        <f>'02_Exchange_Flux'!A10</f>
        <v/>
      </c>
      <c r="B10" s="2">
        <f>'02_Exchange_Flux'!B10</f>
        <v/>
      </c>
      <c r="C10" s="2">
        <f>'02_Exchange_Flux'!C10</f>
        <v/>
      </c>
      <c r="D10" s="2">
        <f>'02_Exchange_Flux'!D10</f>
        <v/>
      </c>
      <c r="E10" s="6">
        <f>'02_Exchange_Flux'!G10</f>
        <v/>
      </c>
      <c r="F10" s="6">
        <f>IFERROR(E10*2,"")</f>
        <v/>
      </c>
      <c r="G10" s="6">
        <f>'02_Exchange_Flux'!H10</f>
        <v/>
      </c>
      <c r="H10" s="6">
        <f>'02_Exchange_Flux'!K10</f>
        <v/>
      </c>
      <c r="I10" s="6">
        <f>IFERROR(MAX(0,F10-G10-H10),"")</f>
        <v/>
      </c>
      <c r="J10" s="6">
        <f>'02_Exchange_Flux'!I10</f>
        <v/>
      </c>
      <c r="K10" s="6">
        <f>'02_Exchange_Flux'!J10</f>
        <v/>
      </c>
      <c r="L10" s="6">
        <f>IFERROR(MAX(0,J10-K10),"")</f>
        <v/>
      </c>
      <c r="M10" s="6">
        <f>IFERROR(I10+L10,"")</f>
        <v/>
      </c>
      <c r="N10" s="6">
        <f>IFERROR(SUM('02_Exchange_Flux'!L10:Q10),"")</f>
        <v/>
      </c>
      <c r="O10" s="6">
        <f>IFERROR(ABS('02_Exchange_Flux'!M10)+ABS('02_Exchange_Flux'!S10),"")</f>
        <v/>
      </c>
      <c r="P10" s="6">
        <f>'02_Exchange_Flux'!R10</f>
        <v/>
      </c>
      <c r="Q10" s="6">
        <f>IFERROR(G10/F10,"")</f>
        <v/>
      </c>
      <c r="R10" s="2">
        <f>IF(A10="","",IF(Q10&gt;0.7,"High lactate overflow",IF(M10&gt;L10,"TCA-biased proxy","Balanced/Review")))</f>
        <v/>
      </c>
    </row>
    <row r="11">
      <c r="A11" s="2">
        <f>'02_Exchange_Flux'!A11</f>
        <v/>
      </c>
      <c r="B11" s="2">
        <f>'02_Exchange_Flux'!B11</f>
        <v/>
      </c>
      <c r="C11" s="2">
        <f>'02_Exchange_Flux'!C11</f>
        <v/>
      </c>
      <c r="D11" s="2">
        <f>'02_Exchange_Flux'!D11</f>
        <v/>
      </c>
      <c r="E11" s="6">
        <f>'02_Exchange_Flux'!G11</f>
        <v/>
      </c>
      <c r="F11" s="6">
        <f>IFERROR(E11*2,"")</f>
        <v/>
      </c>
      <c r="G11" s="6">
        <f>'02_Exchange_Flux'!H11</f>
        <v/>
      </c>
      <c r="H11" s="6">
        <f>'02_Exchange_Flux'!K11</f>
        <v/>
      </c>
      <c r="I11" s="6">
        <f>IFERROR(MAX(0,F11-G11-H11),"")</f>
        <v/>
      </c>
      <c r="J11" s="6">
        <f>'02_Exchange_Flux'!I11</f>
        <v/>
      </c>
      <c r="K11" s="6">
        <f>'02_Exchange_Flux'!J11</f>
        <v/>
      </c>
      <c r="L11" s="6">
        <f>IFERROR(MAX(0,J11-K11),"")</f>
        <v/>
      </c>
      <c r="M11" s="6">
        <f>IFERROR(I11+L11,"")</f>
        <v/>
      </c>
      <c r="N11" s="6">
        <f>IFERROR(SUM('02_Exchange_Flux'!L11:Q11),"")</f>
        <v/>
      </c>
      <c r="O11" s="6">
        <f>IFERROR(ABS('02_Exchange_Flux'!M11)+ABS('02_Exchange_Flux'!S11),"")</f>
        <v/>
      </c>
      <c r="P11" s="6">
        <f>'02_Exchange_Flux'!R11</f>
        <v/>
      </c>
      <c r="Q11" s="6">
        <f>IFERROR(G11/F11,"")</f>
        <v/>
      </c>
      <c r="R11" s="2">
        <f>IF(A11="","",IF(Q11&gt;0.7,"High lactate overflow",IF(M11&gt;L11,"TCA-biased proxy","Balanced/Review")))</f>
        <v/>
      </c>
    </row>
    <row r="12">
      <c r="A12" s="2">
        <f>'02_Exchange_Flux'!A12</f>
        <v/>
      </c>
      <c r="B12" s="2">
        <f>'02_Exchange_Flux'!B12</f>
        <v/>
      </c>
      <c r="C12" s="2">
        <f>'02_Exchange_Flux'!C12</f>
        <v/>
      </c>
      <c r="D12" s="2">
        <f>'02_Exchange_Flux'!D12</f>
        <v/>
      </c>
      <c r="E12" s="6">
        <f>'02_Exchange_Flux'!G12</f>
        <v/>
      </c>
      <c r="F12" s="6">
        <f>IFERROR(E12*2,"")</f>
        <v/>
      </c>
      <c r="G12" s="6">
        <f>'02_Exchange_Flux'!H12</f>
        <v/>
      </c>
      <c r="H12" s="6">
        <f>'02_Exchange_Flux'!K12</f>
        <v/>
      </c>
      <c r="I12" s="6">
        <f>IFERROR(MAX(0,F12-G12-H12),"")</f>
        <v/>
      </c>
      <c r="J12" s="6">
        <f>'02_Exchange_Flux'!I12</f>
        <v/>
      </c>
      <c r="K12" s="6">
        <f>'02_Exchange_Flux'!J12</f>
        <v/>
      </c>
      <c r="L12" s="6">
        <f>IFERROR(MAX(0,J12-K12),"")</f>
        <v/>
      </c>
      <c r="M12" s="6">
        <f>IFERROR(I12+L12,"")</f>
        <v/>
      </c>
      <c r="N12" s="6">
        <f>IFERROR(SUM('02_Exchange_Flux'!L12:Q12),"")</f>
        <v/>
      </c>
      <c r="O12" s="6">
        <f>IFERROR(ABS('02_Exchange_Flux'!M12)+ABS('02_Exchange_Flux'!S12),"")</f>
        <v/>
      </c>
      <c r="P12" s="6">
        <f>'02_Exchange_Flux'!R12</f>
        <v/>
      </c>
      <c r="Q12" s="6">
        <f>IFERROR(G12/F12,"")</f>
        <v/>
      </c>
      <c r="R12" s="2">
        <f>IF(A12="","",IF(Q12&gt;0.7,"High lactate overflow",IF(M12&gt;L12,"TCA-biased proxy","Balanced/Review")))</f>
        <v/>
      </c>
    </row>
    <row r="13">
      <c r="A13" s="2">
        <f>'02_Exchange_Flux'!A13</f>
        <v/>
      </c>
      <c r="B13" s="2">
        <f>'02_Exchange_Flux'!B13</f>
        <v/>
      </c>
      <c r="C13" s="2">
        <f>'02_Exchange_Flux'!C13</f>
        <v/>
      </c>
      <c r="D13" s="2">
        <f>'02_Exchange_Flux'!D13</f>
        <v/>
      </c>
      <c r="E13" s="6">
        <f>'02_Exchange_Flux'!G13</f>
        <v/>
      </c>
      <c r="F13" s="6">
        <f>IFERROR(E13*2,"")</f>
        <v/>
      </c>
      <c r="G13" s="6">
        <f>'02_Exchange_Flux'!H13</f>
        <v/>
      </c>
      <c r="H13" s="6">
        <f>'02_Exchange_Flux'!K13</f>
        <v/>
      </c>
      <c r="I13" s="6">
        <f>IFERROR(MAX(0,F13-G13-H13),"")</f>
        <v/>
      </c>
      <c r="J13" s="6">
        <f>'02_Exchange_Flux'!I13</f>
        <v/>
      </c>
      <c r="K13" s="6">
        <f>'02_Exchange_Flux'!J13</f>
        <v/>
      </c>
      <c r="L13" s="6">
        <f>IFERROR(MAX(0,J13-K13),"")</f>
        <v/>
      </c>
      <c r="M13" s="6">
        <f>IFERROR(I13+L13,"")</f>
        <v/>
      </c>
      <c r="N13" s="6">
        <f>IFERROR(SUM('02_Exchange_Flux'!L13:Q13),"")</f>
        <v/>
      </c>
      <c r="O13" s="6">
        <f>IFERROR(ABS('02_Exchange_Flux'!M13)+ABS('02_Exchange_Flux'!S13),"")</f>
        <v/>
      </c>
      <c r="P13" s="6">
        <f>'02_Exchange_Flux'!R13</f>
        <v/>
      </c>
      <c r="Q13" s="6">
        <f>IFERROR(G13/F13,"")</f>
        <v/>
      </c>
      <c r="R13" s="2">
        <f>IF(A13="","",IF(Q13&gt;0.7,"High lactate overflow",IF(M13&gt;L13,"TCA-biased proxy","Balanced/Review")))</f>
        <v/>
      </c>
    </row>
    <row r="14">
      <c r="A14" s="2">
        <f>'02_Exchange_Flux'!A14</f>
        <v/>
      </c>
      <c r="B14" s="2">
        <f>'02_Exchange_Flux'!B14</f>
        <v/>
      </c>
      <c r="C14" s="2">
        <f>'02_Exchange_Flux'!C14</f>
        <v/>
      </c>
      <c r="D14" s="2">
        <f>'02_Exchange_Flux'!D14</f>
        <v/>
      </c>
      <c r="E14" s="6">
        <f>'02_Exchange_Flux'!G14</f>
        <v/>
      </c>
      <c r="F14" s="6">
        <f>IFERROR(E14*2,"")</f>
        <v/>
      </c>
      <c r="G14" s="6">
        <f>'02_Exchange_Flux'!H14</f>
        <v/>
      </c>
      <c r="H14" s="6">
        <f>'02_Exchange_Flux'!K14</f>
        <v/>
      </c>
      <c r="I14" s="6">
        <f>IFERROR(MAX(0,F14-G14-H14),"")</f>
        <v/>
      </c>
      <c r="J14" s="6">
        <f>'02_Exchange_Flux'!I14</f>
        <v/>
      </c>
      <c r="K14" s="6">
        <f>'02_Exchange_Flux'!J14</f>
        <v/>
      </c>
      <c r="L14" s="6">
        <f>IFERROR(MAX(0,J14-K14),"")</f>
        <v/>
      </c>
      <c r="M14" s="6">
        <f>IFERROR(I14+L14,"")</f>
        <v/>
      </c>
      <c r="N14" s="6">
        <f>IFERROR(SUM('02_Exchange_Flux'!L14:Q14),"")</f>
        <v/>
      </c>
      <c r="O14" s="6">
        <f>IFERROR(ABS('02_Exchange_Flux'!M14)+ABS('02_Exchange_Flux'!S14),"")</f>
        <v/>
      </c>
      <c r="P14" s="6">
        <f>'02_Exchange_Flux'!R14</f>
        <v/>
      </c>
      <c r="Q14" s="6">
        <f>IFERROR(G14/F14,"")</f>
        <v/>
      </c>
      <c r="R14" s="2">
        <f>IF(A14="","",IF(Q14&gt;0.7,"High lactate overflow",IF(M14&gt;L14,"TCA-biased proxy","Balanced/Review")))</f>
        <v/>
      </c>
    </row>
    <row r="15">
      <c r="A15" s="2">
        <f>'02_Exchange_Flux'!A15</f>
        <v/>
      </c>
      <c r="B15" s="2">
        <f>'02_Exchange_Flux'!B15</f>
        <v/>
      </c>
      <c r="C15" s="2">
        <f>'02_Exchange_Flux'!C15</f>
        <v/>
      </c>
      <c r="D15" s="2">
        <f>'02_Exchange_Flux'!D15</f>
        <v/>
      </c>
      <c r="E15" s="6">
        <f>'02_Exchange_Flux'!G15</f>
        <v/>
      </c>
      <c r="F15" s="6">
        <f>IFERROR(E15*2,"")</f>
        <v/>
      </c>
      <c r="G15" s="6">
        <f>'02_Exchange_Flux'!H15</f>
        <v/>
      </c>
      <c r="H15" s="6">
        <f>'02_Exchange_Flux'!K15</f>
        <v/>
      </c>
      <c r="I15" s="6">
        <f>IFERROR(MAX(0,F15-G15-H15),"")</f>
        <v/>
      </c>
      <c r="J15" s="6">
        <f>'02_Exchange_Flux'!I15</f>
        <v/>
      </c>
      <c r="K15" s="6">
        <f>'02_Exchange_Flux'!J15</f>
        <v/>
      </c>
      <c r="L15" s="6">
        <f>IFERROR(MAX(0,J15-K15),"")</f>
        <v/>
      </c>
      <c r="M15" s="6">
        <f>IFERROR(I15+L15,"")</f>
        <v/>
      </c>
      <c r="N15" s="6">
        <f>IFERROR(SUM('02_Exchange_Flux'!L15:Q15),"")</f>
        <v/>
      </c>
      <c r="O15" s="6">
        <f>IFERROR(ABS('02_Exchange_Flux'!M15)+ABS('02_Exchange_Flux'!S15),"")</f>
        <v/>
      </c>
      <c r="P15" s="6">
        <f>'02_Exchange_Flux'!R15</f>
        <v/>
      </c>
      <c r="Q15" s="6">
        <f>IFERROR(G15/F15,"")</f>
        <v/>
      </c>
      <c r="R15" s="2">
        <f>IF(A15="","",IF(Q15&gt;0.7,"High lactate overflow",IF(M15&gt;L15,"TCA-biased proxy","Balanced/Review")))</f>
        <v/>
      </c>
    </row>
    <row r="16">
      <c r="A16" s="2">
        <f>'02_Exchange_Flux'!A16</f>
        <v/>
      </c>
      <c r="B16" s="2">
        <f>'02_Exchange_Flux'!B16</f>
        <v/>
      </c>
      <c r="C16" s="2">
        <f>'02_Exchange_Flux'!C16</f>
        <v/>
      </c>
      <c r="D16" s="2">
        <f>'02_Exchange_Flux'!D16</f>
        <v/>
      </c>
      <c r="E16" s="6">
        <f>'02_Exchange_Flux'!G16</f>
        <v/>
      </c>
      <c r="F16" s="6">
        <f>IFERROR(E16*2,"")</f>
        <v/>
      </c>
      <c r="G16" s="6">
        <f>'02_Exchange_Flux'!H16</f>
        <v/>
      </c>
      <c r="H16" s="6">
        <f>'02_Exchange_Flux'!K16</f>
        <v/>
      </c>
      <c r="I16" s="6">
        <f>IFERROR(MAX(0,F16-G16-H16),"")</f>
        <v/>
      </c>
      <c r="J16" s="6">
        <f>'02_Exchange_Flux'!I16</f>
        <v/>
      </c>
      <c r="K16" s="6">
        <f>'02_Exchange_Flux'!J16</f>
        <v/>
      </c>
      <c r="L16" s="6">
        <f>IFERROR(MAX(0,J16-K16),"")</f>
        <v/>
      </c>
      <c r="M16" s="6">
        <f>IFERROR(I16+L16,"")</f>
        <v/>
      </c>
      <c r="N16" s="6">
        <f>IFERROR(SUM('02_Exchange_Flux'!L16:Q16),"")</f>
        <v/>
      </c>
      <c r="O16" s="6">
        <f>IFERROR(ABS('02_Exchange_Flux'!M16)+ABS('02_Exchange_Flux'!S16),"")</f>
        <v/>
      </c>
      <c r="P16" s="6">
        <f>'02_Exchange_Flux'!R16</f>
        <v/>
      </c>
      <c r="Q16" s="6">
        <f>IFERROR(G16/F16,"")</f>
        <v/>
      </c>
      <c r="R16" s="2">
        <f>IF(A16="","",IF(Q16&gt;0.7,"High lactate overflow",IF(M16&gt;L16,"TCA-biased proxy","Balanced/Review")))</f>
        <v/>
      </c>
    </row>
    <row r="17">
      <c r="A17" s="2">
        <f>'02_Exchange_Flux'!A17</f>
        <v/>
      </c>
      <c r="B17" s="2">
        <f>'02_Exchange_Flux'!B17</f>
        <v/>
      </c>
      <c r="C17" s="2">
        <f>'02_Exchange_Flux'!C17</f>
        <v/>
      </c>
      <c r="D17" s="2">
        <f>'02_Exchange_Flux'!D17</f>
        <v/>
      </c>
      <c r="E17" s="6">
        <f>'02_Exchange_Flux'!G17</f>
        <v/>
      </c>
      <c r="F17" s="6">
        <f>IFERROR(E17*2,"")</f>
        <v/>
      </c>
      <c r="G17" s="6">
        <f>'02_Exchange_Flux'!H17</f>
        <v/>
      </c>
      <c r="H17" s="6">
        <f>'02_Exchange_Flux'!K17</f>
        <v/>
      </c>
      <c r="I17" s="6">
        <f>IFERROR(MAX(0,F17-G17-H17),"")</f>
        <v/>
      </c>
      <c r="J17" s="6">
        <f>'02_Exchange_Flux'!I17</f>
        <v/>
      </c>
      <c r="K17" s="6">
        <f>'02_Exchange_Flux'!J17</f>
        <v/>
      </c>
      <c r="L17" s="6">
        <f>IFERROR(MAX(0,J17-K17),"")</f>
        <v/>
      </c>
      <c r="M17" s="6">
        <f>IFERROR(I17+L17,"")</f>
        <v/>
      </c>
      <c r="N17" s="6">
        <f>IFERROR(SUM('02_Exchange_Flux'!L17:Q17),"")</f>
        <v/>
      </c>
      <c r="O17" s="6">
        <f>IFERROR(ABS('02_Exchange_Flux'!M17)+ABS('02_Exchange_Flux'!S17),"")</f>
        <v/>
      </c>
      <c r="P17" s="6">
        <f>'02_Exchange_Flux'!R17</f>
        <v/>
      </c>
      <c r="Q17" s="6">
        <f>IFERROR(G17/F17,"")</f>
        <v/>
      </c>
      <c r="R17" s="2">
        <f>IF(A17="","",IF(Q17&gt;0.7,"High lactate overflow",IF(M17&gt;L17,"TCA-biased proxy","Balanced/Review")))</f>
        <v/>
      </c>
    </row>
    <row r="18">
      <c r="A18" s="2">
        <f>'02_Exchange_Flux'!A18</f>
        <v/>
      </c>
      <c r="B18" s="2">
        <f>'02_Exchange_Flux'!B18</f>
        <v/>
      </c>
      <c r="C18" s="2">
        <f>'02_Exchange_Flux'!C18</f>
        <v/>
      </c>
      <c r="D18" s="2">
        <f>'02_Exchange_Flux'!D18</f>
        <v/>
      </c>
      <c r="E18" s="6">
        <f>'02_Exchange_Flux'!G18</f>
        <v/>
      </c>
      <c r="F18" s="6">
        <f>IFERROR(E18*2,"")</f>
        <v/>
      </c>
      <c r="G18" s="6">
        <f>'02_Exchange_Flux'!H18</f>
        <v/>
      </c>
      <c r="H18" s="6">
        <f>'02_Exchange_Flux'!K18</f>
        <v/>
      </c>
      <c r="I18" s="6">
        <f>IFERROR(MAX(0,F18-G18-H18),"")</f>
        <v/>
      </c>
      <c r="J18" s="6">
        <f>'02_Exchange_Flux'!I18</f>
        <v/>
      </c>
      <c r="K18" s="6">
        <f>'02_Exchange_Flux'!J18</f>
        <v/>
      </c>
      <c r="L18" s="6">
        <f>IFERROR(MAX(0,J18-K18),"")</f>
        <v/>
      </c>
      <c r="M18" s="6">
        <f>IFERROR(I18+L18,"")</f>
        <v/>
      </c>
      <c r="N18" s="6">
        <f>IFERROR(SUM('02_Exchange_Flux'!L18:Q18),"")</f>
        <v/>
      </c>
      <c r="O18" s="6">
        <f>IFERROR(ABS('02_Exchange_Flux'!M18)+ABS('02_Exchange_Flux'!S18),"")</f>
        <v/>
      </c>
      <c r="P18" s="6">
        <f>'02_Exchange_Flux'!R18</f>
        <v/>
      </c>
      <c r="Q18" s="6">
        <f>IFERROR(G18/F18,"")</f>
        <v/>
      </c>
      <c r="R18" s="2">
        <f>IF(A18="","",IF(Q18&gt;0.7,"High lactate overflow",IF(M18&gt;L18,"TCA-biased proxy","Balanced/Review")))</f>
        <v/>
      </c>
    </row>
    <row r="19">
      <c r="A19" s="2">
        <f>'02_Exchange_Flux'!A19</f>
        <v/>
      </c>
      <c r="B19" s="2">
        <f>'02_Exchange_Flux'!B19</f>
        <v/>
      </c>
      <c r="C19" s="2">
        <f>'02_Exchange_Flux'!C19</f>
        <v/>
      </c>
      <c r="D19" s="2">
        <f>'02_Exchange_Flux'!D19</f>
        <v/>
      </c>
      <c r="E19" s="6">
        <f>'02_Exchange_Flux'!G19</f>
        <v/>
      </c>
      <c r="F19" s="6">
        <f>IFERROR(E19*2,"")</f>
        <v/>
      </c>
      <c r="G19" s="6">
        <f>'02_Exchange_Flux'!H19</f>
        <v/>
      </c>
      <c r="H19" s="6">
        <f>'02_Exchange_Flux'!K19</f>
        <v/>
      </c>
      <c r="I19" s="6">
        <f>IFERROR(MAX(0,F19-G19-H19),"")</f>
        <v/>
      </c>
      <c r="J19" s="6">
        <f>'02_Exchange_Flux'!I19</f>
        <v/>
      </c>
      <c r="K19" s="6">
        <f>'02_Exchange_Flux'!J19</f>
        <v/>
      </c>
      <c r="L19" s="6">
        <f>IFERROR(MAX(0,J19-K19),"")</f>
        <v/>
      </c>
      <c r="M19" s="6">
        <f>IFERROR(I19+L19,"")</f>
        <v/>
      </c>
      <c r="N19" s="6">
        <f>IFERROR(SUM('02_Exchange_Flux'!L19:Q19),"")</f>
        <v/>
      </c>
      <c r="O19" s="6">
        <f>IFERROR(ABS('02_Exchange_Flux'!M19)+ABS('02_Exchange_Flux'!S19),"")</f>
        <v/>
      </c>
      <c r="P19" s="6">
        <f>'02_Exchange_Flux'!R19</f>
        <v/>
      </c>
      <c r="Q19" s="6">
        <f>IFERROR(G19/F19,"")</f>
        <v/>
      </c>
      <c r="R19" s="2">
        <f>IF(A19="","",IF(Q19&gt;0.7,"High lactate overflow",IF(M19&gt;L19,"TCA-biased proxy","Balanced/Review")))</f>
        <v/>
      </c>
    </row>
    <row r="20">
      <c r="A20" s="2">
        <f>'02_Exchange_Flux'!A20</f>
        <v/>
      </c>
      <c r="B20" s="2">
        <f>'02_Exchange_Flux'!B20</f>
        <v/>
      </c>
      <c r="C20" s="2">
        <f>'02_Exchange_Flux'!C20</f>
        <v/>
      </c>
      <c r="D20" s="2">
        <f>'02_Exchange_Flux'!D20</f>
        <v/>
      </c>
      <c r="E20" s="6">
        <f>'02_Exchange_Flux'!G20</f>
        <v/>
      </c>
      <c r="F20" s="6">
        <f>IFERROR(E20*2,"")</f>
        <v/>
      </c>
      <c r="G20" s="6">
        <f>'02_Exchange_Flux'!H20</f>
        <v/>
      </c>
      <c r="H20" s="6">
        <f>'02_Exchange_Flux'!K20</f>
        <v/>
      </c>
      <c r="I20" s="6">
        <f>IFERROR(MAX(0,F20-G20-H20),"")</f>
        <v/>
      </c>
      <c r="J20" s="6">
        <f>'02_Exchange_Flux'!I20</f>
        <v/>
      </c>
      <c r="K20" s="6">
        <f>'02_Exchange_Flux'!J20</f>
        <v/>
      </c>
      <c r="L20" s="6">
        <f>IFERROR(MAX(0,J20-K20),"")</f>
        <v/>
      </c>
      <c r="M20" s="6">
        <f>IFERROR(I20+L20,"")</f>
        <v/>
      </c>
      <c r="N20" s="6">
        <f>IFERROR(SUM('02_Exchange_Flux'!L20:Q20),"")</f>
        <v/>
      </c>
      <c r="O20" s="6">
        <f>IFERROR(ABS('02_Exchange_Flux'!M20)+ABS('02_Exchange_Flux'!S20),"")</f>
        <v/>
      </c>
      <c r="P20" s="6">
        <f>'02_Exchange_Flux'!R20</f>
        <v/>
      </c>
      <c r="Q20" s="6">
        <f>IFERROR(G20/F20,"")</f>
        <v/>
      </c>
      <c r="R20" s="2">
        <f>IF(A20="","",IF(Q20&gt;0.7,"High lactate overflow",IF(M20&gt;L20,"TCA-biased proxy","Balanced/Review")))</f>
        <v/>
      </c>
    </row>
    <row r="21">
      <c r="A21" s="2">
        <f>'02_Exchange_Flux'!A21</f>
        <v/>
      </c>
      <c r="B21" s="2">
        <f>'02_Exchange_Flux'!B21</f>
        <v/>
      </c>
      <c r="C21" s="2">
        <f>'02_Exchange_Flux'!C21</f>
        <v/>
      </c>
      <c r="D21" s="2">
        <f>'02_Exchange_Flux'!D21</f>
        <v/>
      </c>
      <c r="E21" s="6">
        <f>'02_Exchange_Flux'!G21</f>
        <v/>
      </c>
      <c r="F21" s="6">
        <f>IFERROR(E21*2,"")</f>
        <v/>
      </c>
      <c r="G21" s="6">
        <f>'02_Exchange_Flux'!H21</f>
        <v/>
      </c>
      <c r="H21" s="6">
        <f>'02_Exchange_Flux'!K21</f>
        <v/>
      </c>
      <c r="I21" s="6">
        <f>IFERROR(MAX(0,F21-G21-H21),"")</f>
        <v/>
      </c>
      <c r="J21" s="6">
        <f>'02_Exchange_Flux'!I21</f>
        <v/>
      </c>
      <c r="K21" s="6">
        <f>'02_Exchange_Flux'!J21</f>
        <v/>
      </c>
      <c r="L21" s="6">
        <f>IFERROR(MAX(0,J21-K21),"")</f>
        <v/>
      </c>
      <c r="M21" s="6">
        <f>IFERROR(I21+L21,"")</f>
        <v/>
      </c>
      <c r="N21" s="6">
        <f>IFERROR(SUM('02_Exchange_Flux'!L21:Q21),"")</f>
        <v/>
      </c>
      <c r="O21" s="6">
        <f>IFERROR(ABS('02_Exchange_Flux'!M21)+ABS('02_Exchange_Flux'!S21),"")</f>
        <v/>
      </c>
      <c r="P21" s="6">
        <f>'02_Exchange_Flux'!R21</f>
        <v/>
      </c>
      <c r="Q21" s="6">
        <f>IFERROR(G21/F21,"")</f>
        <v/>
      </c>
      <c r="R21" s="2">
        <f>IF(A21="","",IF(Q21&gt;0.7,"High lactate overflow",IF(M21&gt;L21,"TCA-biased proxy","Balanced/Review")))</f>
        <v/>
      </c>
    </row>
    <row r="22">
      <c r="A22" s="2">
        <f>'02_Exchange_Flux'!A22</f>
        <v/>
      </c>
      <c r="B22" s="2">
        <f>'02_Exchange_Flux'!B22</f>
        <v/>
      </c>
      <c r="C22" s="2">
        <f>'02_Exchange_Flux'!C22</f>
        <v/>
      </c>
      <c r="D22" s="2">
        <f>'02_Exchange_Flux'!D22</f>
        <v/>
      </c>
      <c r="E22" s="6">
        <f>'02_Exchange_Flux'!G22</f>
        <v/>
      </c>
      <c r="F22" s="6">
        <f>IFERROR(E22*2,"")</f>
        <v/>
      </c>
      <c r="G22" s="6">
        <f>'02_Exchange_Flux'!H22</f>
        <v/>
      </c>
      <c r="H22" s="6">
        <f>'02_Exchange_Flux'!K22</f>
        <v/>
      </c>
      <c r="I22" s="6">
        <f>IFERROR(MAX(0,F22-G22-H22),"")</f>
        <v/>
      </c>
      <c r="J22" s="6">
        <f>'02_Exchange_Flux'!I22</f>
        <v/>
      </c>
      <c r="K22" s="6">
        <f>'02_Exchange_Flux'!J22</f>
        <v/>
      </c>
      <c r="L22" s="6">
        <f>IFERROR(MAX(0,J22-K22),"")</f>
        <v/>
      </c>
      <c r="M22" s="6">
        <f>IFERROR(I22+L22,"")</f>
        <v/>
      </c>
      <c r="N22" s="6">
        <f>IFERROR(SUM('02_Exchange_Flux'!L22:Q22),"")</f>
        <v/>
      </c>
      <c r="O22" s="6">
        <f>IFERROR(ABS('02_Exchange_Flux'!M22)+ABS('02_Exchange_Flux'!S22),"")</f>
        <v/>
      </c>
      <c r="P22" s="6">
        <f>'02_Exchange_Flux'!R22</f>
        <v/>
      </c>
      <c r="Q22" s="6">
        <f>IFERROR(G22/F22,"")</f>
        <v/>
      </c>
      <c r="R22" s="2">
        <f>IF(A22="","",IF(Q22&gt;0.7,"High lactate overflow",IF(M22&gt;L22,"TCA-biased proxy","Balanced/Review")))</f>
        <v/>
      </c>
    </row>
    <row r="23">
      <c r="A23" s="2">
        <f>'02_Exchange_Flux'!A23</f>
        <v/>
      </c>
      <c r="B23" s="2">
        <f>'02_Exchange_Flux'!B23</f>
        <v/>
      </c>
      <c r="C23" s="2">
        <f>'02_Exchange_Flux'!C23</f>
        <v/>
      </c>
      <c r="D23" s="2">
        <f>'02_Exchange_Flux'!D23</f>
        <v/>
      </c>
      <c r="E23" s="6">
        <f>'02_Exchange_Flux'!G23</f>
        <v/>
      </c>
      <c r="F23" s="6">
        <f>IFERROR(E23*2,"")</f>
        <v/>
      </c>
      <c r="G23" s="6">
        <f>'02_Exchange_Flux'!H23</f>
        <v/>
      </c>
      <c r="H23" s="6">
        <f>'02_Exchange_Flux'!K23</f>
        <v/>
      </c>
      <c r="I23" s="6">
        <f>IFERROR(MAX(0,F23-G23-H23),"")</f>
        <v/>
      </c>
      <c r="J23" s="6">
        <f>'02_Exchange_Flux'!I23</f>
        <v/>
      </c>
      <c r="K23" s="6">
        <f>'02_Exchange_Flux'!J23</f>
        <v/>
      </c>
      <c r="L23" s="6">
        <f>IFERROR(MAX(0,J23-K23),"")</f>
        <v/>
      </c>
      <c r="M23" s="6">
        <f>IFERROR(I23+L23,"")</f>
        <v/>
      </c>
      <c r="N23" s="6">
        <f>IFERROR(SUM('02_Exchange_Flux'!L23:Q23),"")</f>
        <v/>
      </c>
      <c r="O23" s="6">
        <f>IFERROR(ABS('02_Exchange_Flux'!M23)+ABS('02_Exchange_Flux'!S23),"")</f>
        <v/>
      </c>
      <c r="P23" s="6">
        <f>'02_Exchange_Flux'!R23</f>
        <v/>
      </c>
      <c r="Q23" s="6">
        <f>IFERROR(G23/F23,"")</f>
        <v/>
      </c>
      <c r="R23" s="2">
        <f>IF(A23="","",IF(Q23&gt;0.7,"High lactate overflow",IF(M23&gt;L23,"TCA-biased proxy","Balanced/Review")))</f>
        <v/>
      </c>
    </row>
    <row r="24">
      <c r="A24" s="2">
        <f>'02_Exchange_Flux'!A24</f>
        <v/>
      </c>
      <c r="B24" s="2">
        <f>'02_Exchange_Flux'!B24</f>
        <v/>
      </c>
      <c r="C24" s="2">
        <f>'02_Exchange_Flux'!C24</f>
        <v/>
      </c>
      <c r="D24" s="2">
        <f>'02_Exchange_Flux'!D24</f>
        <v/>
      </c>
      <c r="E24" s="6">
        <f>'02_Exchange_Flux'!G24</f>
        <v/>
      </c>
      <c r="F24" s="6">
        <f>IFERROR(E24*2,"")</f>
        <v/>
      </c>
      <c r="G24" s="6">
        <f>'02_Exchange_Flux'!H24</f>
        <v/>
      </c>
      <c r="H24" s="6">
        <f>'02_Exchange_Flux'!K24</f>
        <v/>
      </c>
      <c r="I24" s="6">
        <f>IFERROR(MAX(0,F24-G24-H24),"")</f>
        <v/>
      </c>
      <c r="J24" s="6">
        <f>'02_Exchange_Flux'!I24</f>
        <v/>
      </c>
      <c r="K24" s="6">
        <f>'02_Exchange_Flux'!J24</f>
        <v/>
      </c>
      <c r="L24" s="6">
        <f>IFERROR(MAX(0,J24-K24),"")</f>
        <v/>
      </c>
      <c r="M24" s="6">
        <f>IFERROR(I24+L24,"")</f>
        <v/>
      </c>
      <c r="N24" s="6">
        <f>IFERROR(SUM('02_Exchange_Flux'!L24:Q24),"")</f>
        <v/>
      </c>
      <c r="O24" s="6">
        <f>IFERROR(ABS('02_Exchange_Flux'!M24)+ABS('02_Exchange_Flux'!S24),"")</f>
        <v/>
      </c>
      <c r="P24" s="6">
        <f>'02_Exchange_Flux'!R24</f>
        <v/>
      </c>
      <c r="Q24" s="6">
        <f>IFERROR(G24/F24,"")</f>
        <v/>
      </c>
      <c r="R24" s="2">
        <f>IF(A24="","",IF(Q24&gt;0.7,"High lactate overflow",IF(M24&gt;L24,"TCA-biased proxy","Balanced/Review")))</f>
        <v/>
      </c>
    </row>
    <row r="25">
      <c r="A25" s="2">
        <f>'02_Exchange_Flux'!A25</f>
        <v/>
      </c>
      <c r="B25" s="2">
        <f>'02_Exchange_Flux'!B25</f>
        <v/>
      </c>
      <c r="C25" s="2">
        <f>'02_Exchange_Flux'!C25</f>
        <v/>
      </c>
      <c r="D25" s="2">
        <f>'02_Exchange_Flux'!D25</f>
        <v/>
      </c>
      <c r="E25" s="6">
        <f>'02_Exchange_Flux'!G25</f>
        <v/>
      </c>
      <c r="F25" s="6">
        <f>IFERROR(E25*2,"")</f>
        <v/>
      </c>
      <c r="G25" s="6">
        <f>'02_Exchange_Flux'!H25</f>
        <v/>
      </c>
      <c r="H25" s="6">
        <f>'02_Exchange_Flux'!K25</f>
        <v/>
      </c>
      <c r="I25" s="6">
        <f>IFERROR(MAX(0,F25-G25-H25),"")</f>
        <v/>
      </c>
      <c r="J25" s="6">
        <f>'02_Exchange_Flux'!I25</f>
        <v/>
      </c>
      <c r="K25" s="6">
        <f>'02_Exchange_Flux'!J25</f>
        <v/>
      </c>
      <c r="L25" s="6">
        <f>IFERROR(MAX(0,J25-K25),"")</f>
        <v/>
      </c>
      <c r="M25" s="6">
        <f>IFERROR(I25+L25,"")</f>
        <v/>
      </c>
      <c r="N25" s="6">
        <f>IFERROR(SUM('02_Exchange_Flux'!L25:Q25),"")</f>
        <v/>
      </c>
      <c r="O25" s="6">
        <f>IFERROR(ABS('02_Exchange_Flux'!M25)+ABS('02_Exchange_Flux'!S25),"")</f>
        <v/>
      </c>
      <c r="P25" s="6">
        <f>'02_Exchange_Flux'!R25</f>
        <v/>
      </c>
      <c r="Q25" s="6">
        <f>IFERROR(G25/F25,"")</f>
        <v/>
      </c>
      <c r="R25" s="2">
        <f>IF(A25="","",IF(Q25&gt;0.7,"High lactate overflow",IF(M25&gt;L25,"TCA-biased proxy","Balanced/Review")))</f>
        <v/>
      </c>
    </row>
    <row r="26">
      <c r="A26" s="2">
        <f>'02_Exchange_Flux'!A26</f>
        <v/>
      </c>
      <c r="B26" s="2">
        <f>'02_Exchange_Flux'!B26</f>
        <v/>
      </c>
      <c r="C26" s="2">
        <f>'02_Exchange_Flux'!C26</f>
        <v/>
      </c>
      <c r="D26" s="2">
        <f>'02_Exchange_Flux'!D26</f>
        <v/>
      </c>
      <c r="E26" s="6">
        <f>'02_Exchange_Flux'!G26</f>
        <v/>
      </c>
      <c r="F26" s="6">
        <f>IFERROR(E26*2,"")</f>
        <v/>
      </c>
      <c r="G26" s="6">
        <f>'02_Exchange_Flux'!H26</f>
        <v/>
      </c>
      <c r="H26" s="6">
        <f>'02_Exchange_Flux'!K26</f>
        <v/>
      </c>
      <c r="I26" s="6">
        <f>IFERROR(MAX(0,F26-G26-H26),"")</f>
        <v/>
      </c>
      <c r="J26" s="6">
        <f>'02_Exchange_Flux'!I26</f>
        <v/>
      </c>
      <c r="K26" s="6">
        <f>'02_Exchange_Flux'!J26</f>
        <v/>
      </c>
      <c r="L26" s="6">
        <f>IFERROR(MAX(0,J26-K26),"")</f>
        <v/>
      </c>
      <c r="M26" s="6">
        <f>IFERROR(I26+L26,"")</f>
        <v/>
      </c>
      <c r="N26" s="6">
        <f>IFERROR(SUM('02_Exchange_Flux'!L26:Q26),"")</f>
        <v/>
      </c>
      <c r="O26" s="6">
        <f>IFERROR(ABS('02_Exchange_Flux'!M26)+ABS('02_Exchange_Flux'!S26),"")</f>
        <v/>
      </c>
      <c r="P26" s="6">
        <f>'02_Exchange_Flux'!R26</f>
        <v/>
      </c>
      <c r="Q26" s="6">
        <f>IFERROR(G26/F26,"")</f>
        <v/>
      </c>
      <c r="R26" s="2">
        <f>IF(A26="","",IF(Q26&gt;0.7,"High lactate overflow",IF(M26&gt;L26,"TCA-biased proxy","Balanced/Review")))</f>
        <v/>
      </c>
    </row>
    <row r="27">
      <c r="A27" s="2">
        <f>'02_Exchange_Flux'!A27</f>
        <v/>
      </c>
      <c r="B27" s="2">
        <f>'02_Exchange_Flux'!B27</f>
        <v/>
      </c>
      <c r="C27" s="2">
        <f>'02_Exchange_Flux'!C27</f>
        <v/>
      </c>
      <c r="D27" s="2">
        <f>'02_Exchange_Flux'!D27</f>
        <v/>
      </c>
      <c r="E27" s="6">
        <f>'02_Exchange_Flux'!G27</f>
        <v/>
      </c>
      <c r="F27" s="6">
        <f>IFERROR(E27*2,"")</f>
        <v/>
      </c>
      <c r="G27" s="6">
        <f>'02_Exchange_Flux'!H27</f>
        <v/>
      </c>
      <c r="H27" s="6">
        <f>'02_Exchange_Flux'!K27</f>
        <v/>
      </c>
      <c r="I27" s="6">
        <f>IFERROR(MAX(0,F27-G27-H27),"")</f>
        <v/>
      </c>
      <c r="J27" s="6">
        <f>'02_Exchange_Flux'!I27</f>
        <v/>
      </c>
      <c r="K27" s="6">
        <f>'02_Exchange_Flux'!J27</f>
        <v/>
      </c>
      <c r="L27" s="6">
        <f>IFERROR(MAX(0,J27-K27),"")</f>
        <v/>
      </c>
      <c r="M27" s="6">
        <f>IFERROR(I27+L27,"")</f>
        <v/>
      </c>
      <c r="N27" s="6">
        <f>IFERROR(SUM('02_Exchange_Flux'!L27:Q27),"")</f>
        <v/>
      </c>
      <c r="O27" s="6">
        <f>IFERROR(ABS('02_Exchange_Flux'!M27)+ABS('02_Exchange_Flux'!S27),"")</f>
        <v/>
      </c>
      <c r="P27" s="6">
        <f>'02_Exchange_Flux'!R27</f>
        <v/>
      </c>
      <c r="Q27" s="6">
        <f>IFERROR(G27/F27,"")</f>
        <v/>
      </c>
      <c r="R27" s="2">
        <f>IF(A27="","",IF(Q27&gt;0.7,"High lactate overflow",IF(M27&gt;L27,"TCA-biased proxy","Balanced/Review")))</f>
        <v/>
      </c>
    </row>
    <row r="28">
      <c r="A28" s="2">
        <f>'02_Exchange_Flux'!A28</f>
        <v/>
      </c>
      <c r="B28" s="2">
        <f>'02_Exchange_Flux'!B28</f>
        <v/>
      </c>
      <c r="C28" s="2">
        <f>'02_Exchange_Flux'!C28</f>
        <v/>
      </c>
      <c r="D28" s="2">
        <f>'02_Exchange_Flux'!D28</f>
        <v/>
      </c>
      <c r="E28" s="6">
        <f>'02_Exchange_Flux'!G28</f>
        <v/>
      </c>
      <c r="F28" s="6">
        <f>IFERROR(E28*2,"")</f>
        <v/>
      </c>
      <c r="G28" s="6">
        <f>'02_Exchange_Flux'!H28</f>
        <v/>
      </c>
      <c r="H28" s="6">
        <f>'02_Exchange_Flux'!K28</f>
        <v/>
      </c>
      <c r="I28" s="6">
        <f>IFERROR(MAX(0,F28-G28-H28),"")</f>
        <v/>
      </c>
      <c r="J28" s="6">
        <f>'02_Exchange_Flux'!I28</f>
        <v/>
      </c>
      <c r="K28" s="6">
        <f>'02_Exchange_Flux'!J28</f>
        <v/>
      </c>
      <c r="L28" s="6">
        <f>IFERROR(MAX(0,J28-K28),"")</f>
        <v/>
      </c>
      <c r="M28" s="6">
        <f>IFERROR(I28+L28,"")</f>
        <v/>
      </c>
      <c r="N28" s="6">
        <f>IFERROR(SUM('02_Exchange_Flux'!L28:Q28),"")</f>
        <v/>
      </c>
      <c r="O28" s="6">
        <f>IFERROR(ABS('02_Exchange_Flux'!M28)+ABS('02_Exchange_Flux'!S28),"")</f>
        <v/>
      </c>
      <c r="P28" s="6">
        <f>'02_Exchange_Flux'!R28</f>
        <v/>
      </c>
      <c r="Q28" s="6">
        <f>IFERROR(G28/F28,"")</f>
        <v/>
      </c>
      <c r="R28" s="2">
        <f>IF(A28="","",IF(Q28&gt;0.7,"High lactate overflow",IF(M28&gt;L28,"TCA-biased proxy","Balanced/Review")))</f>
        <v/>
      </c>
    </row>
    <row r="29">
      <c r="A29" s="2">
        <f>'02_Exchange_Flux'!A29</f>
        <v/>
      </c>
      <c r="B29" s="2">
        <f>'02_Exchange_Flux'!B29</f>
        <v/>
      </c>
      <c r="C29" s="2">
        <f>'02_Exchange_Flux'!C29</f>
        <v/>
      </c>
      <c r="D29" s="2">
        <f>'02_Exchange_Flux'!D29</f>
        <v/>
      </c>
      <c r="E29" s="6">
        <f>'02_Exchange_Flux'!G29</f>
        <v/>
      </c>
      <c r="F29" s="6">
        <f>IFERROR(E29*2,"")</f>
        <v/>
      </c>
      <c r="G29" s="6">
        <f>'02_Exchange_Flux'!H29</f>
        <v/>
      </c>
      <c r="H29" s="6">
        <f>'02_Exchange_Flux'!K29</f>
        <v/>
      </c>
      <c r="I29" s="6">
        <f>IFERROR(MAX(0,F29-G29-H29),"")</f>
        <v/>
      </c>
      <c r="J29" s="6">
        <f>'02_Exchange_Flux'!I29</f>
        <v/>
      </c>
      <c r="K29" s="6">
        <f>'02_Exchange_Flux'!J29</f>
        <v/>
      </c>
      <c r="L29" s="6">
        <f>IFERROR(MAX(0,J29-K29),"")</f>
        <v/>
      </c>
      <c r="M29" s="6">
        <f>IFERROR(I29+L29,"")</f>
        <v/>
      </c>
      <c r="N29" s="6">
        <f>IFERROR(SUM('02_Exchange_Flux'!L29:Q29),"")</f>
        <v/>
      </c>
      <c r="O29" s="6">
        <f>IFERROR(ABS('02_Exchange_Flux'!M29)+ABS('02_Exchange_Flux'!S29),"")</f>
        <v/>
      </c>
      <c r="P29" s="6">
        <f>'02_Exchange_Flux'!R29</f>
        <v/>
      </c>
      <c r="Q29" s="6">
        <f>IFERROR(G29/F29,"")</f>
        <v/>
      </c>
      <c r="R29" s="2">
        <f>IF(A29="","",IF(Q29&gt;0.7,"High lactate overflow",IF(M29&gt;L29,"TCA-biased proxy","Balanced/Review")))</f>
        <v/>
      </c>
    </row>
    <row r="30">
      <c r="A30" s="2">
        <f>'02_Exchange_Flux'!A30</f>
        <v/>
      </c>
      <c r="B30" s="2">
        <f>'02_Exchange_Flux'!B30</f>
        <v/>
      </c>
      <c r="C30" s="2">
        <f>'02_Exchange_Flux'!C30</f>
        <v/>
      </c>
      <c r="D30" s="2">
        <f>'02_Exchange_Flux'!D30</f>
        <v/>
      </c>
      <c r="E30" s="6">
        <f>'02_Exchange_Flux'!G30</f>
        <v/>
      </c>
      <c r="F30" s="6">
        <f>IFERROR(E30*2,"")</f>
        <v/>
      </c>
      <c r="G30" s="6">
        <f>'02_Exchange_Flux'!H30</f>
        <v/>
      </c>
      <c r="H30" s="6">
        <f>'02_Exchange_Flux'!K30</f>
        <v/>
      </c>
      <c r="I30" s="6">
        <f>IFERROR(MAX(0,F30-G30-H30),"")</f>
        <v/>
      </c>
      <c r="J30" s="6">
        <f>'02_Exchange_Flux'!I30</f>
        <v/>
      </c>
      <c r="K30" s="6">
        <f>'02_Exchange_Flux'!J30</f>
        <v/>
      </c>
      <c r="L30" s="6">
        <f>IFERROR(MAX(0,J30-K30),"")</f>
        <v/>
      </c>
      <c r="M30" s="6">
        <f>IFERROR(I30+L30,"")</f>
        <v/>
      </c>
      <c r="N30" s="6">
        <f>IFERROR(SUM('02_Exchange_Flux'!L30:Q30),"")</f>
        <v/>
      </c>
      <c r="O30" s="6">
        <f>IFERROR(ABS('02_Exchange_Flux'!M30)+ABS('02_Exchange_Flux'!S30),"")</f>
        <v/>
      </c>
      <c r="P30" s="6">
        <f>'02_Exchange_Flux'!R30</f>
        <v/>
      </c>
      <c r="Q30" s="6">
        <f>IFERROR(G30/F30,"")</f>
        <v/>
      </c>
      <c r="R30" s="2">
        <f>IF(A30="","",IF(Q30&gt;0.7,"High lactate overflow",IF(M30&gt;L30,"TCA-biased proxy","Balanced/Review")))</f>
        <v/>
      </c>
    </row>
    <row r="31">
      <c r="A31" s="2">
        <f>'02_Exchange_Flux'!A31</f>
        <v/>
      </c>
      <c r="B31" s="2">
        <f>'02_Exchange_Flux'!B31</f>
        <v/>
      </c>
      <c r="C31" s="2">
        <f>'02_Exchange_Flux'!C31</f>
        <v/>
      </c>
      <c r="D31" s="2">
        <f>'02_Exchange_Flux'!D31</f>
        <v/>
      </c>
      <c r="E31" s="6">
        <f>'02_Exchange_Flux'!G31</f>
        <v/>
      </c>
      <c r="F31" s="6">
        <f>IFERROR(E31*2,"")</f>
        <v/>
      </c>
      <c r="G31" s="6">
        <f>'02_Exchange_Flux'!H31</f>
        <v/>
      </c>
      <c r="H31" s="6">
        <f>'02_Exchange_Flux'!K31</f>
        <v/>
      </c>
      <c r="I31" s="6">
        <f>IFERROR(MAX(0,F31-G31-H31),"")</f>
        <v/>
      </c>
      <c r="J31" s="6">
        <f>'02_Exchange_Flux'!I31</f>
        <v/>
      </c>
      <c r="K31" s="6">
        <f>'02_Exchange_Flux'!J31</f>
        <v/>
      </c>
      <c r="L31" s="6">
        <f>IFERROR(MAX(0,J31-K31),"")</f>
        <v/>
      </c>
      <c r="M31" s="6">
        <f>IFERROR(I31+L31,"")</f>
        <v/>
      </c>
      <c r="N31" s="6">
        <f>IFERROR(SUM('02_Exchange_Flux'!L31:Q31),"")</f>
        <v/>
      </c>
      <c r="O31" s="6">
        <f>IFERROR(ABS('02_Exchange_Flux'!M31)+ABS('02_Exchange_Flux'!S31),"")</f>
        <v/>
      </c>
      <c r="P31" s="6">
        <f>'02_Exchange_Flux'!R31</f>
        <v/>
      </c>
      <c r="Q31" s="6">
        <f>IFERROR(G31/F31,"")</f>
        <v/>
      </c>
      <c r="R31" s="2">
        <f>IF(A31="","",IF(Q31&gt;0.7,"High lactate overflow",IF(M31&gt;L31,"TCA-biased proxy","Balanced/Review")))</f>
        <v/>
      </c>
    </row>
    <row r="32">
      <c r="A32" s="2">
        <f>'02_Exchange_Flux'!A32</f>
        <v/>
      </c>
      <c r="B32" s="2">
        <f>'02_Exchange_Flux'!B32</f>
        <v/>
      </c>
      <c r="C32" s="2">
        <f>'02_Exchange_Flux'!C32</f>
        <v/>
      </c>
      <c r="D32" s="2">
        <f>'02_Exchange_Flux'!D32</f>
        <v/>
      </c>
      <c r="E32" s="6">
        <f>'02_Exchange_Flux'!G32</f>
        <v/>
      </c>
      <c r="F32" s="6">
        <f>IFERROR(E32*2,"")</f>
        <v/>
      </c>
      <c r="G32" s="6">
        <f>'02_Exchange_Flux'!H32</f>
        <v/>
      </c>
      <c r="H32" s="6">
        <f>'02_Exchange_Flux'!K32</f>
        <v/>
      </c>
      <c r="I32" s="6">
        <f>IFERROR(MAX(0,F32-G32-H32),"")</f>
        <v/>
      </c>
      <c r="J32" s="6">
        <f>'02_Exchange_Flux'!I32</f>
        <v/>
      </c>
      <c r="K32" s="6">
        <f>'02_Exchange_Flux'!J32</f>
        <v/>
      </c>
      <c r="L32" s="6">
        <f>IFERROR(MAX(0,J32-K32),"")</f>
        <v/>
      </c>
      <c r="M32" s="6">
        <f>IFERROR(I32+L32,"")</f>
        <v/>
      </c>
      <c r="N32" s="6">
        <f>IFERROR(SUM('02_Exchange_Flux'!L32:Q32),"")</f>
        <v/>
      </c>
      <c r="O32" s="6">
        <f>IFERROR(ABS('02_Exchange_Flux'!M32)+ABS('02_Exchange_Flux'!S32),"")</f>
        <v/>
      </c>
      <c r="P32" s="6">
        <f>'02_Exchange_Flux'!R32</f>
        <v/>
      </c>
      <c r="Q32" s="6">
        <f>IFERROR(G32/F32,"")</f>
        <v/>
      </c>
      <c r="R32" s="2">
        <f>IF(A32="","",IF(Q32&gt;0.7,"High lactate overflow",IF(M32&gt;L32,"TCA-biased proxy","Balanced/Review")))</f>
        <v/>
      </c>
    </row>
    <row r="33">
      <c r="A33" s="2">
        <f>'02_Exchange_Flux'!A33</f>
        <v/>
      </c>
      <c r="B33" s="2">
        <f>'02_Exchange_Flux'!B33</f>
        <v/>
      </c>
      <c r="C33" s="2">
        <f>'02_Exchange_Flux'!C33</f>
        <v/>
      </c>
      <c r="D33" s="2">
        <f>'02_Exchange_Flux'!D33</f>
        <v/>
      </c>
      <c r="E33" s="6">
        <f>'02_Exchange_Flux'!G33</f>
        <v/>
      </c>
      <c r="F33" s="6">
        <f>IFERROR(E33*2,"")</f>
        <v/>
      </c>
      <c r="G33" s="6">
        <f>'02_Exchange_Flux'!H33</f>
        <v/>
      </c>
      <c r="H33" s="6">
        <f>'02_Exchange_Flux'!K33</f>
        <v/>
      </c>
      <c r="I33" s="6">
        <f>IFERROR(MAX(0,F33-G33-H33),"")</f>
        <v/>
      </c>
      <c r="J33" s="6">
        <f>'02_Exchange_Flux'!I33</f>
        <v/>
      </c>
      <c r="K33" s="6">
        <f>'02_Exchange_Flux'!J33</f>
        <v/>
      </c>
      <c r="L33" s="6">
        <f>IFERROR(MAX(0,J33-K33),"")</f>
        <v/>
      </c>
      <c r="M33" s="6">
        <f>IFERROR(I33+L33,"")</f>
        <v/>
      </c>
      <c r="N33" s="6">
        <f>IFERROR(SUM('02_Exchange_Flux'!L33:Q33),"")</f>
        <v/>
      </c>
      <c r="O33" s="6">
        <f>IFERROR(ABS('02_Exchange_Flux'!M33)+ABS('02_Exchange_Flux'!S33),"")</f>
        <v/>
      </c>
      <c r="P33" s="6">
        <f>'02_Exchange_Flux'!R33</f>
        <v/>
      </c>
      <c r="Q33" s="6">
        <f>IFERROR(G33/F33,"")</f>
        <v/>
      </c>
      <c r="R33" s="2">
        <f>IF(A33="","",IF(Q33&gt;0.7,"High lactate overflow",IF(M33&gt;L33,"TCA-biased proxy","Balanced/Review")))</f>
        <v/>
      </c>
    </row>
    <row r="34">
      <c r="A34" s="2">
        <f>'02_Exchange_Flux'!A34</f>
        <v/>
      </c>
      <c r="B34" s="2">
        <f>'02_Exchange_Flux'!B34</f>
        <v/>
      </c>
      <c r="C34" s="2">
        <f>'02_Exchange_Flux'!C34</f>
        <v/>
      </c>
      <c r="D34" s="2">
        <f>'02_Exchange_Flux'!D34</f>
        <v/>
      </c>
      <c r="E34" s="6">
        <f>'02_Exchange_Flux'!G34</f>
        <v/>
      </c>
      <c r="F34" s="6">
        <f>IFERROR(E34*2,"")</f>
        <v/>
      </c>
      <c r="G34" s="6">
        <f>'02_Exchange_Flux'!H34</f>
        <v/>
      </c>
      <c r="H34" s="6">
        <f>'02_Exchange_Flux'!K34</f>
        <v/>
      </c>
      <c r="I34" s="6">
        <f>IFERROR(MAX(0,F34-G34-H34),"")</f>
        <v/>
      </c>
      <c r="J34" s="6">
        <f>'02_Exchange_Flux'!I34</f>
        <v/>
      </c>
      <c r="K34" s="6">
        <f>'02_Exchange_Flux'!J34</f>
        <v/>
      </c>
      <c r="L34" s="6">
        <f>IFERROR(MAX(0,J34-K34),"")</f>
        <v/>
      </c>
      <c r="M34" s="6">
        <f>IFERROR(I34+L34,"")</f>
        <v/>
      </c>
      <c r="N34" s="6">
        <f>IFERROR(SUM('02_Exchange_Flux'!L34:Q34),"")</f>
        <v/>
      </c>
      <c r="O34" s="6">
        <f>IFERROR(ABS('02_Exchange_Flux'!M34)+ABS('02_Exchange_Flux'!S34),"")</f>
        <v/>
      </c>
      <c r="P34" s="6">
        <f>'02_Exchange_Flux'!R34</f>
        <v/>
      </c>
      <c r="Q34" s="6">
        <f>IFERROR(G34/F34,"")</f>
        <v/>
      </c>
      <c r="R34" s="2">
        <f>IF(A34="","",IF(Q34&gt;0.7,"High lactate overflow",IF(M34&gt;L34,"TCA-biased proxy","Balanced/Review")))</f>
        <v/>
      </c>
    </row>
    <row r="35">
      <c r="A35" s="2">
        <f>'02_Exchange_Flux'!A35</f>
        <v/>
      </c>
      <c r="B35" s="2">
        <f>'02_Exchange_Flux'!B35</f>
        <v/>
      </c>
      <c r="C35" s="2">
        <f>'02_Exchange_Flux'!C35</f>
        <v/>
      </c>
      <c r="D35" s="2">
        <f>'02_Exchange_Flux'!D35</f>
        <v/>
      </c>
      <c r="E35" s="6">
        <f>'02_Exchange_Flux'!G35</f>
        <v/>
      </c>
      <c r="F35" s="6">
        <f>IFERROR(E35*2,"")</f>
        <v/>
      </c>
      <c r="G35" s="6">
        <f>'02_Exchange_Flux'!H35</f>
        <v/>
      </c>
      <c r="H35" s="6">
        <f>'02_Exchange_Flux'!K35</f>
        <v/>
      </c>
      <c r="I35" s="6">
        <f>IFERROR(MAX(0,F35-G35-H35),"")</f>
        <v/>
      </c>
      <c r="J35" s="6">
        <f>'02_Exchange_Flux'!I35</f>
        <v/>
      </c>
      <c r="K35" s="6">
        <f>'02_Exchange_Flux'!J35</f>
        <v/>
      </c>
      <c r="L35" s="6">
        <f>IFERROR(MAX(0,J35-K35),"")</f>
        <v/>
      </c>
      <c r="M35" s="6">
        <f>IFERROR(I35+L35,"")</f>
        <v/>
      </c>
      <c r="N35" s="6">
        <f>IFERROR(SUM('02_Exchange_Flux'!L35:Q35),"")</f>
        <v/>
      </c>
      <c r="O35" s="6">
        <f>IFERROR(ABS('02_Exchange_Flux'!M35)+ABS('02_Exchange_Flux'!S35),"")</f>
        <v/>
      </c>
      <c r="P35" s="6">
        <f>'02_Exchange_Flux'!R35</f>
        <v/>
      </c>
      <c r="Q35" s="6">
        <f>IFERROR(G35/F35,"")</f>
        <v/>
      </c>
      <c r="R35" s="2">
        <f>IF(A35="","",IF(Q35&gt;0.7,"High lactate overflow",IF(M35&gt;L35,"TCA-biased proxy","Balanced/Review")))</f>
        <v/>
      </c>
    </row>
    <row r="36">
      <c r="A36" s="2">
        <f>'02_Exchange_Flux'!A36</f>
        <v/>
      </c>
      <c r="B36" s="2">
        <f>'02_Exchange_Flux'!B36</f>
        <v/>
      </c>
      <c r="C36" s="2">
        <f>'02_Exchange_Flux'!C36</f>
        <v/>
      </c>
      <c r="D36" s="2">
        <f>'02_Exchange_Flux'!D36</f>
        <v/>
      </c>
      <c r="E36" s="6">
        <f>'02_Exchange_Flux'!G36</f>
        <v/>
      </c>
      <c r="F36" s="6">
        <f>IFERROR(E36*2,"")</f>
        <v/>
      </c>
      <c r="G36" s="6">
        <f>'02_Exchange_Flux'!H36</f>
        <v/>
      </c>
      <c r="H36" s="6">
        <f>'02_Exchange_Flux'!K36</f>
        <v/>
      </c>
      <c r="I36" s="6">
        <f>IFERROR(MAX(0,F36-G36-H36),"")</f>
        <v/>
      </c>
      <c r="J36" s="6">
        <f>'02_Exchange_Flux'!I36</f>
        <v/>
      </c>
      <c r="K36" s="6">
        <f>'02_Exchange_Flux'!J36</f>
        <v/>
      </c>
      <c r="L36" s="6">
        <f>IFERROR(MAX(0,J36-K36),"")</f>
        <v/>
      </c>
      <c r="M36" s="6">
        <f>IFERROR(I36+L36,"")</f>
        <v/>
      </c>
      <c r="N36" s="6">
        <f>IFERROR(SUM('02_Exchange_Flux'!L36:Q36),"")</f>
        <v/>
      </c>
      <c r="O36" s="6">
        <f>IFERROR(ABS('02_Exchange_Flux'!M36)+ABS('02_Exchange_Flux'!S36),"")</f>
        <v/>
      </c>
      <c r="P36" s="6">
        <f>'02_Exchange_Flux'!R36</f>
        <v/>
      </c>
      <c r="Q36" s="6">
        <f>IFERROR(G36/F36,"")</f>
        <v/>
      </c>
      <c r="R36" s="2">
        <f>IF(A36="","",IF(Q36&gt;0.7,"High lactate overflow",IF(M36&gt;L36,"TCA-biased proxy","Balanced/Review")))</f>
        <v/>
      </c>
    </row>
    <row r="37">
      <c r="A37" s="2">
        <f>'02_Exchange_Flux'!A37</f>
        <v/>
      </c>
      <c r="B37" s="2">
        <f>'02_Exchange_Flux'!B37</f>
        <v/>
      </c>
      <c r="C37" s="2">
        <f>'02_Exchange_Flux'!C37</f>
        <v/>
      </c>
      <c r="D37" s="2">
        <f>'02_Exchange_Flux'!D37</f>
        <v/>
      </c>
      <c r="E37" s="6">
        <f>'02_Exchange_Flux'!G37</f>
        <v/>
      </c>
      <c r="F37" s="6">
        <f>IFERROR(E37*2,"")</f>
        <v/>
      </c>
      <c r="G37" s="6">
        <f>'02_Exchange_Flux'!H37</f>
        <v/>
      </c>
      <c r="H37" s="6">
        <f>'02_Exchange_Flux'!K37</f>
        <v/>
      </c>
      <c r="I37" s="6">
        <f>IFERROR(MAX(0,F37-G37-H37),"")</f>
        <v/>
      </c>
      <c r="J37" s="6">
        <f>'02_Exchange_Flux'!I37</f>
        <v/>
      </c>
      <c r="K37" s="6">
        <f>'02_Exchange_Flux'!J37</f>
        <v/>
      </c>
      <c r="L37" s="6">
        <f>IFERROR(MAX(0,J37-K37),"")</f>
        <v/>
      </c>
      <c r="M37" s="6">
        <f>IFERROR(I37+L37,"")</f>
        <v/>
      </c>
      <c r="N37" s="6">
        <f>IFERROR(SUM('02_Exchange_Flux'!L37:Q37),"")</f>
        <v/>
      </c>
      <c r="O37" s="6">
        <f>IFERROR(ABS('02_Exchange_Flux'!M37)+ABS('02_Exchange_Flux'!S37),"")</f>
        <v/>
      </c>
      <c r="P37" s="6">
        <f>'02_Exchange_Flux'!R37</f>
        <v/>
      </c>
      <c r="Q37" s="6">
        <f>IFERROR(G37/F37,"")</f>
        <v/>
      </c>
      <c r="R37" s="2">
        <f>IF(A37="","",IF(Q37&gt;0.7,"High lactate overflow",IF(M37&gt;L37,"TCA-biased proxy","Balanced/Review")))</f>
        <v/>
      </c>
    </row>
    <row r="38">
      <c r="A38" s="2">
        <f>'02_Exchange_Flux'!A38</f>
        <v/>
      </c>
      <c r="B38" s="2">
        <f>'02_Exchange_Flux'!B38</f>
        <v/>
      </c>
      <c r="C38" s="2">
        <f>'02_Exchange_Flux'!C38</f>
        <v/>
      </c>
      <c r="D38" s="2">
        <f>'02_Exchange_Flux'!D38</f>
        <v/>
      </c>
      <c r="E38" s="6">
        <f>'02_Exchange_Flux'!G38</f>
        <v/>
      </c>
      <c r="F38" s="6">
        <f>IFERROR(E38*2,"")</f>
        <v/>
      </c>
      <c r="G38" s="6">
        <f>'02_Exchange_Flux'!H38</f>
        <v/>
      </c>
      <c r="H38" s="6">
        <f>'02_Exchange_Flux'!K38</f>
        <v/>
      </c>
      <c r="I38" s="6">
        <f>IFERROR(MAX(0,F38-G38-H38),"")</f>
        <v/>
      </c>
      <c r="J38" s="6">
        <f>'02_Exchange_Flux'!I38</f>
        <v/>
      </c>
      <c r="K38" s="6">
        <f>'02_Exchange_Flux'!J38</f>
        <v/>
      </c>
      <c r="L38" s="6">
        <f>IFERROR(MAX(0,J38-K38),"")</f>
        <v/>
      </c>
      <c r="M38" s="6">
        <f>IFERROR(I38+L38,"")</f>
        <v/>
      </c>
      <c r="N38" s="6">
        <f>IFERROR(SUM('02_Exchange_Flux'!L38:Q38),"")</f>
        <v/>
      </c>
      <c r="O38" s="6">
        <f>IFERROR(ABS('02_Exchange_Flux'!M38)+ABS('02_Exchange_Flux'!S38),"")</f>
        <v/>
      </c>
      <c r="P38" s="6">
        <f>'02_Exchange_Flux'!R38</f>
        <v/>
      </c>
      <c r="Q38" s="6">
        <f>IFERROR(G38/F38,"")</f>
        <v/>
      </c>
      <c r="R38" s="2">
        <f>IF(A38="","",IF(Q38&gt;0.7,"High lactate overflow",IF(M38&gt;L38,"TCA-biased proxy","Balanced/Review")))</f>
        <v/>
      </c>
    </row>
    <row r="39">
      <c r="A39" s="2">
        <f>'02_Exchange_Flux'!A39</f>
        <v/>
      </c>
      <c r="B39" s="2">
        <f>'02_Exchange_Flux'!B39</f>
        <v/>
      </c>
      <c r="C39" s="2">
        <f>'02_Exchange_Flux'!C39</f>
        <v/>
      </c>
      <c r="D39" s="2">
        <f>'02_Exchange_Flux'!D39</f>
        <v/>
      </c>
      <c r="E39" s="6">
        <f>'02_Exchange_Flux'!G39</f>
        <v/>
      </c>
      <c r="F39" s="6">
        <f>IFERROR(E39*2,"")</f>
        <v/>
      </c>
      <c r="G39" s="6">
        <f>'02_Exchange_Flux'!H39</f>
        <v/>
      </c>
      <c r="H39" s="6">
        <f>'02_Exchange_Flux'!K39</f>
        <v/>
      </c>
      <c r="I39" s="6">
        <f>IFERROR(MAX(0,F39-G39-H39),"")</f>
        <v/>
      </c>
      <c r="J39" s="6">
        <f>'02_Exchange_Flux'!I39</f>
        <v/>
      </c>
      <c r="K39" s="6">
        <f>'02_Exchange_Flux'!J39</f>
        <v/>
      </c>
      <c r="L39" s="6">
        <f>IFERROR(MAX(0,J39-K39),"")</f>
        <v/>
      </c>
      <c r="M39" s="6">
        <f>IFERROR(I39+L39,"")</f>
        <v/>
      </c>
      <c r="N39" s="6">
        <f>IFERROR(SUM('02_Exchange_Flux'!L39:Q39),"")</f>
        <v/>
      </c>
      <c r="O39" s="6">
        <f>IFERROR(ABS('02_Exchange_Flux'!M39)+ABS('02_Exchange_Flux'!S39),"")</f>
        <v/>
      </c>
      <c r="P39" s="6">
        <f>'02_Exchange_Flux'!R39</f>
        <v/>
      </c>
      <c r="Q39" s="6">
        <f>IFERROR(G39/F39,"")</f>
        <v/>
      </c>
      <c r="R39" s="2">
        <f>IF(A39="","",IF(Q39&gt;0.7,"High lactate overflow",IF(M39&gt;L39,"TCA-biased proxy","Balanced/Review")))</f>
        <v/>
      </c>
    </row>
    <row r="40">
      <c r="A40" s="2">
        <f>'02_Exchange_Flux'!A40</f>
        <v/>
      </c>
      <c r="B40" s="2">
        <f>'02_Exchange_Flux'!B40</f>
        <v/>
      </c>
      <c r="C40" s="2">
        <f>'02_Exchange_Flux'!C40</f>
        <v/>
      </c>
      <c r="D40" s="2">
        <f>'02_Exchange_Flux'!D40</f>
        <v/>
      </c>
      <c r="E40" s="6">
        <f>'02_Exchange_Flux'!G40</f>
        <v/>
      </c>
      <c r="F40" s="6">
        <f>IFERROR(E40*2,"")</f>
        <v/>
      </c>
      <c r="G40" s="6">
        <f>'02_Exchange_Flux'!H40</f>
        <v/>
      </c>
      <c r="H40" s="6">
        <f>'02_Exchange_Flux'!K40</f>
        <v/>
      </c>
      <c r="I40" s="6">
        <f>IFERROR(MAX(0,F40-G40-H40),"")</f>
        <v/>
      </c>
      <c r="J40" s="6">
        <f>'02_Exchange_Flux'!I40</f>
        <v/>
      </c>
      <c r="K40" s="6">
        <f>'02_Exchange_Flux'!J40</f>
        <v/>
      </c>
      <c r="L40" s="6">
        <f>IFERROR(MAX(0,J40-K40),"")</f>
        <v/>
      </c>
      <c r="M40" s="6">
        <f>IFERROR(I40+L40,"")</f>
        <v/>
      </c>
      <c r="N40" s="6">
        <f>IFERROR(SUM('02_Exchange_Flux'!L40:Q40),"")</f>
        <v/>
      </c>
      <c r="O40" s="6">
        <f>IFERROR(ABS('02_Exchange_Flux'!M40)+ABS('02_Exchange_Flux'!S40),"")</f>
        <v/>
      </c>
      <c r="P40" s="6">
        <f>'02_Exchange_Flux'!R40</f>
        <v/>
      </c>
      <c r="Q40" s="6">
        <f>IFERROR(G40/F40,"")</f>
        <v/>
      </c>
      <c r="R40" s="2">
        <f>IF(A40="","",IF(Q40&gt;0.7,"High lactate overflow",IF(M40&gt;L40,"TCA-biased proxy","Balanced/Review")))</f>
        <v/>
      </c>
    </row>
    <row r="41">
      <c r="A41" s="2">
        <f>'02_Exchange_Flux'!A41</f>
        <v/>
      </c>
      <c r="B41" s="2">
        <f>'02_Exchange_Flux'!B41</f>
        <v/>
      </c>
      <c r="C41" s="2">
        <f>'02_Exchange_Flux'!C41</f>
        <v/>
      </c>
      <c r="D41" s="2">
        <f>'02_Exchange_Flux'!D41</f>
        <v/>
      </c>
      <c r="E41" s="6">
        <f>'02_Exchange_Flux'!G41</f>
        <v/>
      </c>
      <c r="F41" s="6">
        <f>IFERROR(E41*2,"")</f>
        <v/>
      </c>
      <c r="G41" s="6">
        <f>'02_Exchange_Flux'!H41</f>
        <v/>
      </c>
      <c r="H41" s="6">
        <f>'02_Exchange_Flux'!K41</f>
        <v/>
      </c>
      <c r="I41" s="6">
        <f>IFERROR(MAX(0,F41-G41-H41),"")</f>
        <v/>
      </c>
      <c r="J41" s="6">
        <f>'02_Exchange_Flux'!I41</f>
        <v/>
      </c>
      <c r="K41" s="6">
        <f>'02_Exchange_Flux'!J41</f>
        <v/>
      </c>
      <c r="L41" s="6">
        <f>IFERROR(MAX(0,J41-K41),"")</f>
        <v/>
      </c>
      <c r="M41" s="6">
        <f>IFERROR(I41+L41,"")</f>
        <v/>
      </c>
      <c r="N41" s="6">
        <f>IFERROR(SUM('02_Exchange_Flux'!L41:Q41),"")</f>
        <v/>
      </c>
      <c r="O41" s="6">
        <f>IFERROR(ABS('02_Exchange_Flux'!M41)+ABS('02_Exchange_Flux'!S41),"")</f>
        <v/>
      </c>
      <c r="P41" s="6">
        <f>'02_Exchange_Flux'!R41</f>
        <v/>
      </c>
      <c r="Q41" s="6">
        <f>IFERROR(G41/F41,"")</f>
        <v/>
      </c>
      <c r="R41" s="2">
        <f>IF(A41="","",IF(Q41&gt;0.7,"High lactate overflow",IF(M41&gt;L41,"TCA-biased proxy","Balanced/Review")))</f>
        <v/>
      </c>
    </row>
    <row r="42">
      <c r="A42" s="2">
        <f>'02_Exchange_Flux'!A42</f>
        <v/>
      </c>
      <c r="B42" s="2">
        <f>'02_Exchange_Flux'!B42</f>
        <v/>
      </c>
      <c r="C42" s="2">
        <f>'02_Exchange_Flux'!C42</f>
        <v/>
      </c>
      <c r="D42" s="2">
        <f>'02_Exchange_Flux'!D42</f>
        <v/>
      </c>
      <c r="E42" s="6">
        <f>'02_Exchange_Flux'!G42</f>
        <v/>
      </c>
      <c r="F42" s="6">
        <f>IFERROR(E42*2,"")</f>
        <v/>
      </c>
      <c r="G42" s="6">
        <f>'02_Exchange_Flux'!H42</f>
        <v/>
      </c>
      <c r="H42" s="6">
        <f>'02_Exchange_Flux'!K42</f>
        <v/>
      </c>
      <c r="I42" s="6">
        <f>IFERROR(MAX(0,F42-G42-H42),"")</f>
        <v/>
      </c>
      <c r="J42" s="6">
        <f>'02_Exchange_Flux'!I42</f>
        <v/>
      </c>
      <c r="K42" s="6">
        <f>'02_Exchange_Flux'!J42</f>
        <v/>
      </c>
      <c r="L42" s="6">
        <f>IFERROR(MAX(0,J42-K42),"")</f>
        <v/>
      </c>
      <c r="M42" s="6">
        <f>IFERROR(I42+L42,"")</f>
        <v/>
      </c>
      <c r="N42" s="6">
        <f>IFERROR(SUM('02_Exchange_Flux'!L42:Q42),"")</f>
        <v/>
      </c>
      <c r="O42" s="6">
        <f>IFERROR(ABS('02_Exchange_Flux'!M42)+ABS('02_Exchange_Flux'!S42),"")</f>
        <v/>
      </c>
      <c r="P42" s="6">
        <f>'02_Exchange_Flux'!R42</f>
        <v/>
      </c>
      <c r="Q42" s="6">
        <f>IFERROR(G42/F42,"")</f>
        <v/>
      </c>
      <c r="R42" s="2">
        <f>IF(A42="","",IF(Q42&gt;0.7,"High lactate overflow",IF(M42&gt;L42,"TCA-biased proxy","Balanced/Review")))</f>
        <v/>
      </c>
    </row>
    <row r="43">
      <c r="A43" s="2">
        <f>'02_Exchange_Flux'!A43</f>
        <v/>
      </c>
      <c r="B43" s="2">
        <f>'02_Exchange_Flux'!B43</f>
        <v/>
      </c>
      <c r="C43" s="2">
        <f>'02_Exchange_Flux'!C43</f>
        <v/>
      </c>
      <c r="D43" s="2">
        <f>'02_Exchange_Flux'!D43</f>
        <v/>
      </c>
      <c r="E43" s="6">
        <f>'02_Exchange_Flux'!G43</f>
        <v/>
      </c>
      <c r="F43" s="6">
        <f>IFERROR(E43*2,"")</f>
        <v/>
      </c>
      <c r="G43" s="6">
        <f>'02_Exchange_Flux'!H43</f>
        <v/>
      </c>
      <c r="H43" s="6">
        <f>'02_Exchange_Flux'!K43</f>
        <v/>
      </c>
      <c r="I43" s="6">
        <f>IFERROR(MAX(0,F43-G43-H43),"")</f>
        <v/>
      </c>
      <c r="J43" s="6">
        <f>'02_Exchange_Flux'!I43</f>
        <v/>
      </c>
      <c r="K43" s="6">
        <f>'02_Exchange_Flux'!J43</f>
        <v/>
      </c>
      <c r="L43" s="6">
        <f>IFERROR(MAX(0,J43-K43),"")</f>
        <v/>
      </c>
      <c r="M43" s="6">
        <f>IFERROR(I43+L43,"")</f>
        <v/>
      </c>
      <c r="N43" s="6">
        <f>IFERROR(SUM('02_Exchange_Flux'!L43:Q43),"")</f>
        <v/>
      </c>
      <c r="O43" s="6">
        <f>IFERROR(ABS('02_Exchange_Flux'!M43)+ABS('02_Exchange_Flux'!S43),"")</f>
        <v/>
      </c>
      <c r="P43" s="6">
        <f>'02_Exchange_Flux'!R43</f>
        <v/>
      </c>
      <c r="Q43" s="6">
        <f>IFERROR(G43/F43,"")</f>
        <v/>
      </c>
      <c r="R43" s="2">
        <f>IF(A43="","",IF(Q43&gt;0.7,"High lactate overflow",IF(M43&gt;L43,"TCA-biased proxy","Balanced/Review")))</f>
        <v/>
      </c>
    </row>
    <row r="44">
      <c r="A44" s="2">
        <f>'02_Exchange_Flux'!A44</f>
        <v/>
      </c>
      <c r="B44" s="2">
        <f>'02_Exchange_Flux'!B44</f>
        <v/>
      </c>
      <c r="C44" s="2">
        <f>'02_Exchange_Flux'!C44</f>
        <v/>
      </c>
      <c r="D44" s="2">
        <f>'02_Exchange_Flux'!D44</f>
        <v/>
      </c>
      <c r="E44" s="6">
        <f>'02_Exchange_Flux'!G44</f>
        <v/>
      </c>
      <c r="F44" s="6">
        <f>IFERROR(E44*2,"")</f>
        <v/>
      </c>
      <c r="G44" s="6">
        <f>'02_Exchange_Flux'!H44</f>
        <v/>
      </c>
      <c r="H44" s="6">
        <f>'02_Exchange_Flux'!K44</f>
        <v/>
      </c>
      <c r="I44" s="6">
        <f>IFERROR(MAX(0,F44-G44-H44),"")</f>
        <v/>
      </c>
      <c r="J44" s="6">
        <f>'02_Exchange_Flux'!I44</f>
        <v/>
      </c>
      <c r="K44" s="6">
        <f>'02_Exchange_Flux'!J44</f>
        <v/>
      </c>
      <c r="L44" s="6">
        <f>IFERROR(MAX(0,J44-K44),"")</f>
        <v/>
      </c>
      <c r="M44" s="6">
        <f>IFERROR(I44+L44,"")</f>
        <v/>
      </c>
      <c r="N44" s="6">
        <f>IFERROR(SUM('02_Exchange_Flux'!L44:Q44),"")</f>
        <v/>
      </c>
      <c r="O44" s="6">
        <f>IFERROR(ABS('02_Exchange_Flux'!M44)+ABS('02_Exchange_Flux'!S44),"")</f>
        <v/>
      </c>
      <c r="P44" s="6">
        <f>'02_Exchange_Flux'!R44</f>
        <v/>
      </c>
      <c r="Q44" s="6">
        <f>IFERROR(G44/F44,"")</f>
        <v/>
      </c>
      <c r="R44" s="2">
        <f>IF(A44="","",IF(Q44&gt;0.7,"High lactate overflow",IF(M44&gt;L44,"TCA-biased proxy","Balanced/Review")))</f>
        <v/>
      </c>
    </row>
    <row r="45">
      <c r="A45" s="2">
        <f>'02_Exchange_Flux'!A45</f>
        <v/>
      </c>
      <c r="B45" s="2">
        <f>'02_Exchange_Flux'!B45</f>
        <v/>
      </c>
      <c r="C45" s="2">
        <f>'02_Exchange_Flux'!C45</f>
        <v/>
      </c>
      <c r="D45" s="2">
        <f>'02_Exchange_Flux'!D45</f>
        <v/>
      </c>
      <c r="E45" s="6">
        <f>'02_Exchange_Flux'!G45</f>
        <v/>
      </c>
      <c r="F45" s="6">
        <f>IFERROR(E45*2,"")</f>
        <v/>
      </c>
      <c r="G45" s="6">
        <f>'02_Exchange_Flux'!H45</f>
        <v/>
      </c>
      <c r="H45" s="6">
        <f>'02_Exchange_Flux'!K45</f>
        <v/>
      </c>
      <c r="I45" s="6">
        <f>IFERROR(MAX(0,F45-G45-H45),"")</f>
        <v/>
      </c>
      <c r="J45" s="6">
        <f>'02_Exchange_Flux'!I45</f>
        <v/>
      </c>
      <c r="K45" s="6">
        <f>'02_Exchange_Flux'!J45</f>
        <v/>
      </c>
      <c r="L45" s="6">
        <f>IFERROR(MAX(0,J45-K45),"")</f>
        <v/>
      </c>
      <c r="M45" s="6">
        <f>IFERROR(I45+L45,"")</f>
        <v/>
      </c>
      <c r="N45" s="6">
        <f>IFERROR(SUM('02_Exchange_Flux'!L45:Q45),"")</f>
        <v/>
      </c>
      <c r="O45" s="6">
        <f>IFERROR(ABS('02_Exchange_Flux'!M45)+ABS('02_Exchange_Flux'!S45),"")</f>
        <v/>
      </c>
      <c r="P45" s="6">
        <f>'02_Exchange_Flux'!R45</f>
        <v/>
      </c>
      <c r="Q45" s="6">
        <f>IFERROR(G45/F45,"")</f>
        <v/>
      </c>
      <c r="R45" s="2">
        <f>IF(A45="","",IF(Q45&gt;0.7,"High lactate overflow",IF(M45&gt;L45,"TCA-biased proxy","Balanced/Review")))</f>
        <v/>
      </c>
    </row>
    <row r="46">
      <c r="A46" s="2">
        <f>'02_Exchange_Flux'!A46</f>
        <v/>
      </c>
      <c r="B46" s="2">
        <f>'02_Exchange_Flux'!B46</f>
        <v/>
      </c>
      <c r="C46" s="2">
        <f>'02_Exchange_Flux'!C46</f>
        <v/>
      </c>
      <c r="D46" s="2">
        <f>'02_Exchange_Flux'!D46</f>
        <v/>
      </c>
      <c r="E46" s="6">
        <f>'02_Exchange_Flux'!G46</f>
        <v/>
      </c>
      <c r="F46" s="6">
        <f>IFERROR(E46*2,"")</f>
        <v/>
      </c>
      <c r="G46" s="6">
        <f>'02_Exchange_Flux'!H46</f>
        <v/>
      </c>
      <c r="H46" s="6">
        <f>'02_Exchange_Flux'!K46</f>
        <v/>
      </c>
      <c r="I46" s="6">
        <f>IFERROR(MAX(0,F46-G46-H46),"")</f>
        <v/>
      </c>
      <c r="J46" s="6">
        <f>'02_Exchange_Flux'!I46</f>
        <v/>
      </c>
      <c r="K46" s="6">
        <f>'02_Exchange_Flux'!J46</f>
        <v/>
      </c>
      <c r="L46" s="6">
        <f>IFERROR(MAX(0,J46-K46),"")</f>
        <v/>
      </c>
      <c r="M46" s="6">
        <f>IFERROR(I46+L46,"")</f>
        <v/>
      </c>
      <c r="N46" s="6">
        <f>IFERROR(SUM('02_Exchange_Flux'!L46:Q46),"")</f>
        <v/>
      </c>
      <c r="O46" s="6">
        <f>IFERROR(ABS('02_Exchange_Flux'!M46)+ABS('02_Exchange_Flux'!S46),"")</f>
        <v/>
      </c>
      <c r="P46" s="6">
        <f>'02_Exchange_Flux'!R46</f>
        <v/>
      </c>
      <c r="Q46" s="6">
        <f>IFERROR(G46/F46,"")</f>
        <v/>
      </c>
      <c r="R46" s="2">
        <f>IF(A46="","",IF(Q46&gt;0.7,"High lactate overflow",IF(M46&gt;L46,"TCA-biased proxy","Balanced/Review")))</f>
        <v/>
      </c>
    </row>
    <row r="47">
      <c r="A47" s="2">
        <f>'02_Exchange_Flux'!A47</f>
        <v/>
      </c>
      <c r="B47" s="2">
        <f>'02_Exchange_Flux'!B47</f>
        <v/>
      </c>
      <c r="C47" s="2">
        <f>'02_Exchange_Flux'!C47</f>
        <v/>
      </c>
      <c r="D47" s="2">
        <f>'02_Exchange_Flux'!D47</f>
        <v/>
      </c>
      <c r="E47" s="6">
        <f>'02_Exchange_Flux'!G47</f>
        <v/>
      </c>
      <c r="F47" s="6">
        <f>IFERROR(E47*2,"")</f>
        <v/>
      </c>
      <c r="G47" s="6">
        <f>'02_Exchange_Flux'!H47</f>
        <v/>
      </c>
      <c r="H47" s="6">
        <f>'02_Exchange_Flux'!K47</f>
        <v/>
      </c>
      <c r="I47" s="6">
        <f>IFERROR(MAX(0,F47-G47-H47),"")</f>
        <v/>
      </c>
      <c r="J47" s="6">
        <f>'02_Exchange_Flux'!I47</f>
        <v/>
      </c>
      <c r="K47" s="6">
        <f>'02_Exchange_Flux'!J47</f>
        <v/>
      </c>
      <c r="L47" s="6">
        <f>IFERROR(MAX(0,J47-K47),"")</f>
        <v/>
      </c>
      <c r="M47" s="6">
        <f>IFERROR(I47+L47,"")</f>
        <v/>
      </c>
      <c r="N47" s="6">
        <f>IFERROR(SUM('02_Exchange_Flux'!L47:Q47),"")</f>
        <v/>
      </c>
      <c r="O47" s="6">
        <f>IFERROR(ABS('02_Exchange_Flux'!M47)+ABS('02_Exchange_Flux'!S47),"")</f>
        <v/>
      </c>
      <c r="P47" s="6">
        <f>'02_Exchange_Flux'!R47</f>
        <v/>
      </c>
      <c r="Q47" s="6">
        <f>IFERROR(G47/F47,"")</f>
        <v/>
      </c>
      <c r="R47" s="2">
        <f>IF(A47="","",IF(Q47&gt;0.7,"High lactate overflow",IF(M47&gt;L47,"TCA-biased proxy","Balanced/Review")))</f>
        <v/>
      </c>
    </row>
    <row r="48">
      <c r="A48" s="2">
        <f>'02_Exchange_Flux'!A48</f>
        <v/>
      </c>
      <c r="B48" s="2">
        <f>'02_Exchange_Flux'!B48</f>
        <v/>
      </c>
      <c r="C48" s="2">
        <f>'02_Exchange_Flux'!C48</f>
        <v/>
      </c>
      <c r="D48" s="2">
        <f>'02_Exchange_Flux'!D48</f>
        <v/>
      </c>
      <c r="E48" s="6">
        <f>'02_Exchange_Flux'!G48</f>
        <v/>
      </c>
      <c r="F48" s="6">
        <f>IFERROR(E48*2,"")</f>
        <v/>
      </c>
      <c r="G48" s="6">
        <f>'02_Exchange_Flux'!H48</f>
        <v/>
      </c>
      <c r="H48" s="6">
        <f>'02_Exchange_Flux'!K48</f>
        <v/>
      </c>
      <c r="I48" s="6">
        <f>IFERROR(MAX(0,F48-G48-H48),"")</f>
        <v/>
      </c>
      <c r="J48" s="6">
        <f>'02_Exchange_Flux'!I48</f>
        <v/>
      </c>
      <c r="K48" s="6">
        <f>'02_Exchange_Flux'!J48</f>
        <v/>
      </c>
      <c r="L48" s="6">
        <f>IFERROR(MAX(0,J48-K48),"")</f>
        <v/>
      </c>
      <c r="M48" s="6">
        <f>IFERROR(I48+L48,"")</f>
        <v/>
      </c>
      <c r="N48" s="6">
        <f>IFERROR(SUM('02_Exchange_Flux'!L48:Q48),"")</f>
        <v/>
      </c>
      <c r="O48" s="6">
        <f>IFERROR(ABS('02_Exchange_Flux'!M48)+ABS('02_Exchange_Flux'!S48),"")</f>
        <v/>
      </c>
      <c r="P48" s="6">
        <f>'02_Exchange_Flux'!R48</f>
        <v/>
      </c>
      <c r="Q48" s="6">
        <f>IFERROR(G48/F48,"")</f>
        <v/>
      </c>
      <c r="R48" s="2">
        <f>IF(A48="","",IF(Q48&gt;0.7,"High lactate overflow",IF(M48&gt;L48,"TCA-biased proxy","Balanced/Review")))</f>
        <v/>
      </c>
    </row>
    <row r="49">
      <c r="A49" s="2">
        <f>'02_Exchange_Flux'!A49</f>
        <v/>
      </c>
      <c r="B49" s="2">
        <f>'02_Exchange_Flux'!B49</f>
        <v/>
      </c>
      <c r="C49" s="2">
        <f>'02_Exchange_Flux'!C49</f>
        <v/>
      </c>
      <c r="D49" s="2">
        <f>'02_Exchange_Flux'!D49</f>
        <v/>
      </c>
      <c r="E49" s="6">
        <f>'02_Exchange_Flux'!G49</f>
        <v/>
      </c>
      <c r="F49" s="6">
        <f>IFERROR(E49*2,"")</f>
        <v/>
      </c>
      <c r="G49" s="6">
        <f>'02_Exchange_Flux'!H49</f>
        <v/>
      </c>
      <c r="H49" s="6">
        <f>'02_Exchange_Flux'!K49</f>
        <v/>
      </c>
      <c r="I49" s="6">
        <f>IFERROR(MAX(0,F49-G49-H49),"")</f>
        <v/>
      </c>
      <c r="J49" s="6">
        <f>'02_Exchange_Flux'!I49</f>
        <v/>
      </c>
      <c r="K49" s="6">
        <f>'02_Exchange_Flux'!J49</f>
        <v/>
      </c>
      <c r="L49" s="6">
        <f>IFERROR(MAX(0,J49-K49),"")</f>
        <v/>
      </c>
      <c r="M49" s="6">
        <f>IFERROR(I49+L49,"")</f>
        <v/>
      </c>
      <c r="N49" s="6">
        <f>IFERROR(SUM('02_Exchange_Flux'!L49:Q49),"")</f>
        <v/>
      </c>
      <c r="O49" s="6">
        <f>IFERROR(ABS('02_Exchange_Flux'!M49)+ABS('02_Exchange_Flux'!S49),"")</f>
        <v/>
      </c>
      <c r="P49" s="6">
        <f>'02_Exchange_Flux'!R49</f>
        <v/>
      </c>
      <c r="Q49" s="6">
        <f>IFERROR(G49/F49,"")</f>
        <v/>
      </c>
      <c r="R49" s="2">
        <f>IF(A49="","",IF(Q49&gt;0.7,"High lactate overflow",IF(M49&gt;L49,"TCA-biased proxy","Balanced/Review")))</f>
        <v/>
      </c>
    </row>
    <row r="50">
      <c r="A50" s="2">
        <f>'02_Exchange_Flux'!A50</f>
        <v/>
      </c>
      <c r="B50" s="2">
        <f>'02_Exchange_Flux'!B50</f>
        <v/>
      </c>
      <c r="C50" s="2">
        <f>'02_Exchange_Flux'!C50</f>
        <v/>
      </c>
      <c r="D50" s="2">
        <f>'02_Exchange_Flux'!D50</f>
        <v/>
      </c>
      <c r="E50" s="6">
        <f>'02_Exchange_Flux'!G50</f>
        <v/>
      </c>
      <c r="F50" s="6">
        <f>IFERROR(E50*2,"")</f>
        <v/>
      </c>
      <c r="G50" s="6">
        <f>'02_Exchange_Flux'!H50</f>
        <v/>
      </c>
      <c r="H50" s="6">
        <f>'02_Exchange_Flux'!K50</f>
        <v/>
      </c>
      <c r="I50" s="6">
        <f>IFERROR(MAX(0,F50-G50-H50),"")</f>
        <v/>
      </c>
      <c r="J50" s="6">
        <f>'02_Exchange_Flux'!I50</f>
        <v/>
      </c>
      <c r="K50" s="6">
        <f>'02_Exchange_Flux'!J50</f>
        <v/>
      </c>
      <c r="L50" s="6">
        <f>IFERROR(MAX(0,J50-K50),"")</f>
        <v/>
      </c>
      <c r="M50" s="6">
        <f>IFERROR(I50+L50,"")</f>
        <v/>
      </c>
      <c r="N50" s="6">
        <f>IFERROR(SUM('02_Exchange_Flux'!L50:Q50),"")</f>
        <v/>
      </c>
      <c r="O50" s="6">
        <f>IFERROR(ABS('02_Exchange_Flux'!M50)+ABS('02_Exchange_Flux'!S50),"")</f>
        <v/>
      </c>
      <c r="P50" s="6">
        <f>'02_Exchange_Flux'!R50</f>
        <v/>
      </c>
      <c r="Q50" s="6">
        <f>IFERROR(G50/F50,"")</f>
        <v/>
      </c>
      <c r="R50" s="2">
        <f>IF(A50="","",IF(Q50&gt;0.7,"High lactate overflow",IF(M50&gt;L50,"TCA-biased proxy","Balanced/Review")))</f>
        <v/>
      </c>
    </row>
    <row r="51">
      <c r="A51" s="2">
        <f>'02_Exchange_Flux'!A51</f>
        <v/>
      </c>
      <c r="B51" s="2">
        <f>'02_Exchange_Flux'!B51</f>
        <v/>
      </c>
      <c r="C51" s="2">
        <f>'02_Exchange_Flux'!C51</f>
        <v/>
      </c>
      <c r="D51" s="2">
        <f>'02_Exchange_Flux'!D51</f>
        <v/>
      </c>
      <c r="E51" s="6">
        <f>'02_Exchange_Flux'!G51</f>
        <v/>
      </c>
      <c r="F51" s="6">
        <f>IFERROR(E51*2,"")</f>
        <v/>
      </c>
      <c r="G51" s="6">
        <f>'02_Exchange_Flux'!H51</f>
        <v/>
      </c>
      <c r="H51" s="6">
        <f>'02_Exchange_Flux'!K51</f>
        <v/>
      </c>
      <c r="I51" s="6">
        <f>IFERROR(MAX(0,F51-G51-H51),"")</f>
        <v/>
      </c>
      <c r="J51" s="6">
        <f>'02_Exchange_Flux'!I51</f>
        <v/>
      </c>
      <c r="K51" s="6">
        <f>'02_Exchange_Flux'!J51</f>
        <v/>
      </c>
      <c r="L51" s="6">
        <f>IFERROR(MAX(0,J51-K51),"")</f>
        <v/>
      </c>
      <c r="M51" s="6">
        <f>IFERROR(I51+L51,"")</f>
        <v/>
      </c>
      <c r="N51" s="6">
        <f>IFERROR(SUM('02_Exchange_Flux'!L51:Q51),"")</f>
        <v/>
      </c>
      <c r="O51" s="6">
        <f>IFERROR(ABS('02_Exchange_Flux'!M51)+ABS('02_Exchange_Flux'!S51),"")</f>
        <v/>
      </c>
      <c r="P51" s="6">
        <f>'02_Exchange_Flux'!R51</f>
        <v/>
      </c>
      <c r="Q51" s="6">
        <f>IFERROR(G51/F51,"")</f>
        <v/>
      </c>
      <c r="R51" s="2">
        <f>IF(A51="","",IF(Q51&gt;0.7,"High lactate overflow",IF(M51&gt;L51,"TCA-biased proxy","Balanced/Review")))</f>
        <v/>
      </c>
    </row>
    <row r="52">
      <c r="A52" s="2">
        <f>'02_Exchange_Flux'!A52</f>
        <v/>
      </c>
      <c r="B52" s="2">
        <f>'02_Exchange_Flux'!B52</f>
        <v/>
      </c>
      <c r="C52" s="2">
        <f>'02_Exchange_Flux'!C52</f>
        <v/>
      </c>
      <c r="D52" s="2">
        <f>'02_Exchange_Flux'!D52</f>
        <v/>
      </c>
      <c r="E52" s="6">
        <f>'02_Exchange_Flux'!G52</f>
        <v/>
      </c>
      <c r="F52" s="6">
        <f>IFERROR(E52*2,"")</f>
        <v/>
      </c>
      <c r="G52" s="6">
        <f>'02_Exchange_Flux'!H52</f>
        <v/>
      </c>
      <c r="H52" s="6">
        <f>'02_Exchange_Flux'!K52</f>
        <v/>
      </c>
      <c r="I52" s="6">
        <f>IFERROR(MAX(0,F52-G52-H52),"")</f>
        <v/>
      </c>
      <c r="J52" s="6">
        <f>'02_Exchange_Flux'!I52</f>
        <v/>
      </c>
      <c r="K52" s="6">
        <f>'02_Exchange_Flux'!J52</f>
        <v/>
      </c>
      <c r="L52" s="6">
        <f>IFERROR(MAX(0,J52-K52),"")</f>
        <v/>
      </c>
      <c r="M52" s="6">
        <f>IFERROR(I52+L52,"")</f>
        <v/>
      </c>
      <c r="N52" s="6">
        <f>IFERROR(SUM('02_Exchange_Flux'!L52:Q52),"")</f>
        <v/>
      </c>
      <c r="O52" s="6">
        <f>IFERROR(ABS('02_Exchange_Flux'!M52)+ABS('02_Exchange_Flux'!S52),"")</f>
        <v/>
      </c>
      <c r="P52" s="6">
        <f>'02_Exchange_Flux'!R52</f>
        <v/>
      </c>
      <c r="Q52" s="6">
        <f>IFERROR(G52/F52,"")</f>
        <v/>
      </c>
      <c r="R52" s="2">
        <f>IF(A52="","",IF(Q52&gt;0.7,"High lactate overflow",IF(M52&gt;L52,"TCA-biased proxy","Balanced/Review")))</f>
        <v/>
      </c>
    </row>
    <row r="53">
      <c r="A53" s="2">
        <f>'02_Exchange_Flux'!A53</f>
        <v/>
      </c>
      <c r="B53" s="2">
        <f>'02_Exchange_Flux'!B53</f>
        <v/>
      </c>
      <c r="C53" s="2">
        <f>'02_Exchange_Flux'!C53</f>
        <v/>
      </c>
      <c r="D53" s="2">
        <f>'02_Exchange_Flux'!D53</f>
        <v/>
      </c>
      <c r="E53" s="6">
        <f>'02_Exchange_Flux'!G53</f>
        <v/>
      </c>
      <c r="F53" s="6">
        <f>IFERROR(E53*2,"")</f>
        <v/>
      </c>
      <c r="G53" s="6">
        <f>'02_Exchange_Flux'!H53</f>
        <v/>
      </c>
      <c r="H53" s="6">
        <f>'02_Exchange_Flux'!K53</f>
        <v/>
      </c>
      <c r="I53" s="6">
        <f>IFERROR(MAX(0,F53-G53-H53),"")</f>
        <v/>
      </c>
      <c r="J53" s="6">
        <f>'02_Exchange_Flux'!I53</f>
        <v/>
      </c>
      <c r="K53" s="6">
        <f>'02_Exchange_Flux'!J53</f>
        <v/>
      </c>
      <c r="L53" s="6">
        <f>IFERROR(MAX(0,J53-K53),"")</f>
        <v/>
      </c>
      <c r="M53" s="6">
        <f>IFERROR(I53+L53,"")</f>
        <v/>
      </c>
      <c r="N53" s="6">
        <f>IFERROR(SUM('02_Exchange_Flux'!L53:Q53),"")</f>
        <v/>
      </c>
      <c r="O53" s="6">
        <f>IFERROR(ABS('02_Exchange_Flux'!M53)+ABS('02_Exchange_Flux'!S53),"")</f>
        <v/>
      </c>
      <c r="P53" s="6">
        <f>'02_Exchange_Flux'!R53</f>
        <v/>
      </c>
      <c r="Q53" s="6">
        <f>IFERROR(G53/F53,"")</f>
        <v/>
      </c>
      <c r="R53" s="2">
        <f>IF(A53="","",IF(Q53&gt;0.7,"High lactate overflow",IF(M53&gt;L53,"TCA-biased proxy","Balanced/Review")))</f>
        <v/>
      </c>
    </row>
    <row r="54">
      <c r="A54" s="2">
        <f>'02_Exchange_Flux'!A54</f>
        <v/>
      </c>
      <c r="B54" s="2">
        <f>'02_Exchange_Flux'!B54</f>
        <v/>
      </c>
      <c r="C54" s="2">
        <f>'02_Exchange_Flux'!C54</f>
        <v/>
      </c>
      <c r="D54" s="2">
        <f>'02_Exchange_Flux'!D54</f>
        <v/>
      </c>
      <c r="E54" s="6">
        <f>'02_Exchange_Flux'!G54</f>
        <v/>
      </c>
      <c r="F54" s="6">
        <f>IFERROR(E54*2,"")</f>
        <v/>
      </c>
      <c r="G54" s="6">
        <f>'02_Exchange_Flux'!H54</f>
        <v/>
      </c>
      <c r="H54" s="6">
        <f>'02_Exchange_Flux'!K54</f>
        <v/>
      </c>
      <c r="I54" s="6">
        <f>IFERROR(MAX(0,F54-G54-H54),"")</f>
        <v/>
      </c>
      <c r="J54" s="6">
        <f>'02_Exchange_Flux'!I54</f>
        <v/>
      </c>
      <c r="K54" s="6">
        <f>'02_Exchange_Flux'!J54</f>
        <v/>
      </c>
      <c r="L54" s="6">
        <f>IFERROR(MAX(0,J54-K54),"")</f>
        <v/>
      </c>
      <c r="M54" s="6">
        <f>IFERROR(I54+L54,"")</f>
        <v/>
      </c>
      <c r="N54" s="6">
        <f>IFERROR(SUM('02_Exchange_Flux'!L54:Q54),"")</f>
        <v/>
      </c>
      <c r="O54" s="6">
        <f>IFERROR(ABS('02_Exchange_Flux'!M54)+ABS('02_Exchange_Flux'!S54),"")</f>
        <v/>
      </c>
      <c r="P54" s="6">
        <f>'02_Exchange_Flux'!R54</f>
        <v/>
      </c>
      <c r="Q54" s="6">
        <f>IFERROR(G54/F54,"")</f>
        <v/>
      </c>
      <c r="R54" s="2">
        <f>IF(A54="","",IF(Q54&gt;0.7,"High lactate overflow",IF(M54&gt;L54,"TCA-biased proxy","Balanced/Review")))</f>
        <v/>
      </c>
    </row>
    <row r="55">
      <c r="A55" s="2">
        <f>'02_Exchange_Flux'!A55</f>
        <v/>
      </c>
      <c r="B55" s="2">
        <f>'02_Exchange_Flux'!B55</f>
        <v/>
      </c>
      <c r="C55" s="2">
        <f>'02_Exchange_Flux'!C55</f>
        <v/>
      </c>
      <c r="D55" s="2">
        <f>'02_Exchange_Flux'!D55</f>
        <v/>
      </c>
      <c r="E55" s="6">
        <f>'02_Exchange_Flux'!G55</f>
        <v/>
      </c>
      <c r="F55" s="6">
        <f>IFERROR(E55*2,"")</f>
        <v/>
      </c>
      <c r="G55" s="6">
        <f>'02_Exchange_Flux'!H55</f>
        <v/>
      </c>
      <c r="H55" s="6">
        <f>'02_Exchange_Flux'!K55</f>
        <v/>
      </c>
      <c r="I55" s="6">
        <f>IFERROR(MAX(0,F55-G55-H55),"")</f>
        <v/>
      </c>
      <c r="J55" s="6">
        <f>'02_Exchange_Flux'!I55</f>
        <v/>
      </c>
      <c r="K55" s="6">
        <f>'02_Exchange_Flux'!J55</f>
        <v/>
      </c>
      <c r="L55" s="6">
        <f>IFERROR(MAX(0,J55-K55),"")</f>
        <v/>
      </c>
      <c r="M55" s="6">
        <f>IFERROR(I55+L55,"")</f>
        <v/>
      </c>
      <c r="N55" s="6">
        <f>IFERROR(SUM('02_Exchange_Flux'!L55:Q55),"")</f>
        <v/>
      </c>
      <c r="O55" s="6">
        <f>IFERROR(ABS('02_Exchange_Flux'!M55)+ABS('02_Exchange_Flux'!S55),"")</f>
        <v/>
      </c>
      <c r="P55" s="6">
        <f>'02_Exchange_Flux'!R55</f>
        <v/>
      </c>
      <c r="Q55" s="6">
        <f>IFERROR(G55/F55,"")</f>
        <v/>
      </c>
      <c r="R55" s="2">
        <f>IF(A55="","",IF(Q55&gt;0.7,"High lactate overflow",IF(M55&gt;L55,"TCA-biased proxy","Balanced/Review")))</f>
        <v/>
      </c>
    </row>
    <row r="56">
      <c r="A56" s="2">
        <f>'02_Exchange_Flux'!A56</f>
        <v/>
      </c>
      <c r="B56" s="2">
        <f>'02_Exchange_Flux'!B56</f>
        <v/>
      </c>
      <c r="C56" s="2">
        <f>'02_Exchange_Flux'!C56</f>
        <v/>
      </c>
      <c r="D56" s="2">
        <f>'02_Exchange_Flux'!D56</f>
        <v/>
      </c>
      <c r="E56" s="6">
        <f>'02_Exchange_Flux'!G56</f>
        <v/>
      </c>
      <c r="F56" s="6">
        <f>IFERROR(E56*2,"")</f>
        <v/>
      </c>
      <c r="G56" s="6">
        <f>'02_Exchange_Flux'!H56</f>
        <v/>
      </c>
      <c r="H56" s="6">
        <f>'02_Exchange_Flux'!K56</f>
        <v/>
      </c>
      <c r="I56" s="6">
        <f>IFERROR(MAX(0,F56-G56-H56),"")</f>
        <v/>
      </c>
      <c r="J56" s="6">
        <f>'02_Exchange_Flux'!I56</f>
        <v/>
      </c>
      <c r="K56" s="6">
        <f>'02_Exchange_Flux'!J56</f>
        <v/>
      </c>
      <c r="L56" s="6">
        <f>IFERROR(MAX(0,J56-K56),"")</f>
        <v/>
      </c>
      <c r="M56" s="6">
        <f>IFERROR(I56+L56,"")</f>
        <v/>
      </c>
      <c r="N56" s="6">
        <f>IFERROR(SUM('02_Exchange_Flux'!L56:Q56),"")</f>
        <v/>
      </c>
      <c r="O56" s="6">
        <f>IFERROR(ABS('02_Exchange_Flux'!M56)+ABS('02_Exchange_Flux'!S56),"")</f>
        <v/>
      </c>
      <c r="P56" s="6">
        <f>'02_Exchange_Flux'!R56</f>
        <v/>
      </c>
      <c r="Q56" s="6">
        <f>IFERROR(G56/F56,"")</f>
        <v/>
      </c>
      <c r="R56" s="2">
        <f>IF(A56="","",IF(Q56&gt;0.7,"High lactate overflow",IF(M56&gt;L56,"TCA-biased proxy","Balanced/Review")))</f>
        <v/>
      </c>
    </row>
    <row r="57">
      <c r="A57" s="2">
        <f>'02_Exchange_Flux'!A57</f>
        <v/>
      </c>
      <c r="B57" s="2">
        <f>'02_Exchange_Flux'!B57</f>
        <v/>
      </c>
      <c r="C57" s="2">
        <f>'02_Exchange_Flux'!C57</f>
        <v/>
      </c>
      <c r="D57" s="2">
        <f>'02_Exchange_Flux'!D57</f>
        <v/>
      </c>
      <c r="E57" s="6">
        <f>'02_Exchange_Flux'!G57</f>
        <v/>
      </c>
      <c r="F57" s="6">
        <f>IFERROR(E57*2,"")</f>
        <v/>
      </c>
      <c r="G57" s="6">
        <f>'02_Exchange_Flux'!H57</f>
        <v/>
      </c>
      <c r="H57" s="6">
        <f>'02_Exchange_Flux'!K57</f>
        <v/>
      </c>
      <c r="I57" s="6">
        <f>IFERROR(MAX(0,F57-G57-H57),"")</f>
        <v/>
      </c>
      <c r="J57" s="6">
        <f>'02_Exchange_Flux'!I57</f>
        <v/>
      </c>
      <c r="K57" s="6">
        <f>'02_Exchange_Flux'!J57</f>
        <v/>
      </c>
      <c r="L57" s="6">
        <f>IFERROR(MAX(0,J57-K57),"")</f>
        <v/>
      </c>
      <c r="M57" s="6">
        <f>IFERROR(I57+L57,"")</f>
        <v/>
      </c>
      <c r="N57" s="6">
        <f>IFERROR(SUM('02_Exchange_Flux'!L57:Q57),"")</f>
        <v/>
      </c>
      <c r="O57" s="6">
        <f>IFERROR(ABS('02_Exchange_Flux'!M57)+ABS('02_Exchange_Flux'!S57),"")</f>
        <v/>
      </c>
      <c r="P57" s="6">
        <f>'02_Exchange_Flux'!R57</f>
        <v/>
      </c>
      <c r="Q57" s="6">
        <f>IFERROR(G57/F57,"")</f>
        <v/>
      </c>
      <c r="R57" s="2">
        <f>IF(A57="","",IF(Q57&gt;0.7,"High lactate overflow",IF(M57&gt;L57,"TCA-biased proxy","Balanced/Review")))</f>
        <v/>
      </c>
    </row>
    <row r="58">
      <c r="A58" s="2">
        <f>'02_Exchange_Flux'!A58</f>
        <v/>
      </c>
      <c r="B58" s="2">
        <f>'02_Exchange_Flux'!B58</f>
        <v/>
      </c>
      <c r="C58" s="2">
        <f>'02_Exchange_Flux'!C58</f>
        <v/>
      </c>
      <c r="D58" s="2">
        <f>'02_Exchange_Flux'!D58</f>
        <v/>
      </c>
      <c r="E58" s="6">
        <f>'02_Exchange_Flux'!G58</f>
        <v/>
      </c>
      <c r="F58" s="6">
        <f>IFERROR(E58*2,"")</f>
        <v/>
      </c>
      <c r="G58" s="6">
        <f>'02_Exchange_Flux'!H58</f>
        <v/>
      </c>
      <c r="H58" s="6">
        <f>'02_Exchange_Flux'!K58</f>
        <v/>
      </c>
      <c r="I58" s="6">
        <f>IFERROR(MAX(0,F58-G58-H58),"")</f>
        <v/>
      </c>
      <c r="J58" s="6">
        <f>'02_Exchange_Flux'!I58</f>
        <v/>
      </c>
      <c r="K58" s="6">
        <f>'02_Exchange_Flux'!J58</f>
        <v/>
      </c>
      <c r="L58" s="6">
        <f>IFERROR(MAX(0,J58-K58),"")</f>
        <v/>
      </c>
      <c r="M58" s="6">
        <f>IFERROR(I58+L58,"")</f>
        <v/>
      </c>
      <c r="N58" s="6">
        <f>IFERROR(SUM('02_Exchange_Flux'!L58:Q58),"")</f>
        <v/>
      </c>
      <c r="O58" s="6">
        <f>IFERROR(ABS('02_Exchange_Flux'!M58)+ABS('02_Exchange_Flux'!S58),"")</f>
        <v/>
      </c>
      <c r="P58" s="6">
        <f>'02_Exchange_Flux'!R58</f>
        <v/>
      </c>
      <c r="Q58" s="6">
        <f>IFERROR(G58/F58,"")</f>
        <v/>
      </c>
      <c r="R58" s="2">
        <f>IF(A58="","",IF(Q58&gt;0.7,"High lactate overflow",IF(M58&gt;L58,"TCA-biased proxy","Balanced/Review")))</f>
        <v/>
      </c>
    </row>
    <row r="59">
      <c r="A59" s="2">
        <f>'02_Exchange_Flux'!A59</f>
        <v/>
      </c>
      <c r="B59" s="2">
        <f>'02_Exchange_Flux'!B59</f>
        <v/>
      </c>
      <c r="C59" s="2">
        <f>'02_Exchange_Flux'!C59</f>
        <v/>
      </c>
      <c r="D59" s="2">
        <f>'02_Exchange_Flux'!D59</f>
        <v/>
      </c>
      <c r="E59" s="6">
        <f>'02_Exchange_Flux'!G59</f>
        <v/>
      </c>
      <c r="F59" s="6">
        <f>IFERROR(E59*2,"")</f>
        <v/>
      </c>
      <c r="G59" s="6">
        <f>'02_Exchange_Flux'!H59</f>
        <v/>
      </c>
      <c r="H59" s="6">
        <f>'02_Exchange_Flux'!K59</f>
        <v/>
      </c>
      <c r="I59" s="6">
        <f>IFERROR(MAX(0,F59-G59-H59),"")</f>
        <v/>
      </c>
      <c r="J59" s="6">
        <f>'02_Exchange_Flux'!I59</f>
        <v/>
      </c>
      <c r="K59" s="6">
        <f>'02_Exchange_Flux'!J59</f>
        <v/>
      </c>
      <c r="L59" s="6">
        <f>IFERROR(MAX(0,J59-K59),"")</f>
        <v/>
      </c>
      <c r="M59" s="6">
        <f>IFERROR(I59+L59,"")</f>
        <v/>
      </c>
      <c r="N59" s="6">
        <f>IFERROR(SUM('02_Exchange_Flux'!L59:Q59),"")</f>
        <v/>
      </c>
      <c r="O59" s="6">
        <f>IFERROR(ABS('02_Exchange_Flux'!M59)+ABS('02_Exchange_Flux'!S59),"")</f>
        <v/>
      </c>
      <c r="P59" s="6">
        <f>'02_Exchange_Flux'!R59</f>
        <v/>
      </c>
      <c r="Q59" s="6">
        <f>IFERROR(G59/F59,"")</f>
        <v/>
      </c>
      <c r="R59" s="2">
        <f>IF(A59="","",IF(Q59&gt;0.7,"High lactate overflow",IF(M59&gt;L59,"TCA-biased proxy","Balanced/Review")))</f>
        <v/>
      </c>
    </row>
    <row r="60">
      <c r="A60" s="2">
        <f>'02_Exchange_Flux'!A60</f>
        <v/>
      </c>
      <c r="B60" s="2">
        <f>'02_Exchange_Flux'!B60</f>
        <v/>
      </c>
      <c r="C60" s="2">
        <f>'02_Exchange_Flux'!C60</f>
        <v/>
      </c>
      <c r="D60" s="2">
        <f>'02_Exchange_Flux'!D60</f>
        <v/>
      </c>
      <c r="E60" s="6">
        <f>'02_Exchange_Flux'!G60</f>
        <v/>
      </c>
      <c r="F60" s="6">
        <f>IFERROR(E60*2,"")</f>
        <v/>
      </c>
      <c r="G60" s="6">
        <f>'02_Exchange_Flux'!H60</f>
        <v/>
      </c>
      <c r="H60" s="6">
        <f>'02_Exchange_Flux'!K60</f>
        <v/>
      </c>
      <c r="I60" s="6">
        <f>IFERROR(MAX(0,F60-G60-H60),"")</f>
        <v/>
      </c>
      <c r="J60" s="6">
        <f>'02_Exchange_Flux'!I60</f>
        <v/>
      </c>
      <c r="K60" s="6">
        <f>'02_Exchange_Flux'!J60</f>
        <v/>
      </c>
      <c r="L60" s="6">
        <f>IFERROR(MAX(0,J60-K60),"")</f>
        <v/>
      </c>
      <c r="M60" s="6">
        <f>IFERROR(I60+L60,"")</f>
        <v/>
      </c>
      <c r="N60" s="6">
        <f>IFERROR(SUM('02_Exchange_Flux'!L60:Q60),"")</f>
        <v/>
      </c>
      <c r="O60" s="6">
        <f>IFERROR(ABS('02_Exchange_Flux'!M60)+ABS('02_Exchange_Flux'!S60),"")</f>
        <v/>
      </c>
      <c r="P60" s="6">
        <f>'02_Exchange_Flux'!R60</f>
        <v/>
      </c>
      <c r="Q60" s="6">
        <f>IFERROR(G60/F60,"")</f>
        <v/>
      </c>
      <c r="R60" s="2">
        <f>IF(A60="","",IF(Q60&gt;0.7,"High lactate overflow",IF(M60&gt;L60,"TCA-biased proxy","Balanced/Review")))</f>
        <v/>
      </c>
    </row>
    <row r="61">
      <c r="A61" s="2">
        <f>'02_Exchange_Flux'!A61</f>
        <v/>
      </c>
      <c r="B61" s="2">
        <f>'02_Exchange_Flux'!B61</f>
        <v/>
      </c>
      <c r="C61" s="2">
        <f>'02_Exchange_Flux'!C61</f>
        <v/>
      </c>
      <c r="D61" s="2">
        <f>'02_Exchange_Flux'!D61</f>
        <v/>
      </c>
      <c r="E61" s="6">
        <f>'02_Exchange_Flux'!G61</f>
        <v/>
      </c>
      <c r="F61" s="6">
        <f>IFERROR(E61*2,"")</f>
        <v/>
      </c>
      <c r="G61" s="6">
        <f>'02_Exchange_Flux'!H61</f>
        <v/>
      </c>
      <c r="H61" s="6">
        <f>'02_Exchange_Flux'!K61</f>
        <v/>
      </c>
      <c r="I61" s="6">
        <f>IFERROR(MAX(0,F61-G61-H61),"")</f>
        <v/>
      </c>
      <c r="J61" s="6">
        <f>'02_Exchange_Flux'!I61</f>
        <v/>
      </c>
      <c r="K61" s="6">
        <f>'02_Exchange_Flux'!J61</f>
        <v/>
      </c>
      <c r="L61" s="6">
        <f>IFERROR(MAX(0,J61-K61),"")</f>
        <v/>
      </c>
      <c r="M61" s="6">
        <f>IFERROR(I61+L61,"")</f>
        <v/>
      </c>
      <c r="N61" s="6">
        <f>IFERROR(SUM('02_Exchange_Flux'!L61:Q61),"")</f>
        <v/>
      </c>
      <c r="O61" s="6">
        <f>IFERROR(ABS('02_Exchange_Flux'!M61)+ABS('02_Exchange_Flux'!S61),"")</f>
        <v/>
      </c>
      <c r="P61" s="6">
        <f>'02_Exchange_Flux'!R61</f>
        <v/>
      </c>
      <c r="Q61" s="6">
        <f>IFERROR(G61/F61,"")</f>
        <v/>
      </c>
      <c r="R61" s="2">
        <f>IF(A61="","",IF(Q61&gt;0.7,"High lactate overflow",IF(M61&gt;L61,"TCA-biased proxy","Balanced/Review")))</f>
        <v/>
      </c>
    </row>
    <row r="62">
      <c r="A62" s="2">
        <f>'02_Exchange_Flux'!A62</f>
        <v/>
      </c>
      <c r="B62" s="2">
        <f>'02_Exchange_Flux'!B62</f>
        <v/>
      </c>
      <c r="C62" s="2">
        <f>'02_Exchange_Flux'!C62</f>
        <v/>
      </c>
      <c r="D62" s="2">
        <f>'02_Exchange_Flux'!D62</f>
        <v/>
      </c>
      <c r="E62" s="6">
        <f>'02_Exchange_Flux'!G62</f>
        <v/>
      </c>
      <c r="F62" s="6">
        <f>IFERROR(E62*2,"")</f>
        <v/>
      </c>
      <c r="G62" s="6">
        <f>'02_Exchange_Flux'!H62</f>
        <v/>
      </c>
      <c r="H62" s="6">
        <f>'02_Exchange_Flux'!K62</f>
        <v/>
      </c>
      <c r="I62" s="6">
        <f>IFERROR(MAX(0,F62-G62-H62),"")</f>
        <v/>
      </c>
      <c r="J62" s="6">
        <f>'02_Exchange_Flux'!I62</f>
        <v/>
      </c>
      <c r="K62" s="6">
        <f>'02_Exchange_Flux'!J62</f>
        <v/>
      </c>
      <c r="L62" s="6">
        <f>IFERROR(MAX(0,J62-K62),"")</f>
        <v/>
      </c>
      <c r="M62" s="6">
        <f>IFERROR(I62+L62,"")</f>
        <v/>
      </c>
      <c r="N62" s="6">
        <f>IFERROR(SUM('02_Exchange_Flux'!L62:Q62),"")</f>
        <v/>
      </c>
      <c r="O62" s="6">
        <f>IFERROR(ABS('02_Exchange_Flux'!M62)+ABS('02_Exchange_Flux'!S62),"")</f>
        <v/>
      </c>
      <c r="P62" s="6">
        <f>'02_Exchange_Flux'!R62</f>
        <v/>
      </c>
      <c r="Q62" s="6">
        <f>IFERROR(G62/F62,"")</f>
        <v/>
      </c>
      <c r="R62" s="2">
        <f>IF(A62="","",IF(Q62&gt;0.7,"High lactate overflow",IF(M62&gt;L62,"TCA-biased proxy","Balanced/Review")))</f>
        <v/>
      </c>
    </row>
    <row r="63">
      <c r="A63" s="2">
        <f>'02_Exchange_Flux'!A63</f>
        <v/>
      </c>
      <c r="B63" s="2">
        <f>'02_Exchange_Flux'!B63</f>
        <v/>
      </c>
      <c r="C63" s="2">
        <f>'02_Exchange_Flux'!C63</f>
        <v/>
      </c>
      <c r="D63" s="2">
        <f>'02_Exchange_Flux'!D63</f>
        <v/>
      </c>
      <c r="E63" s="6">
        <f>'02_Exchange_Flux'!G63</f>
        <v/>
      </c>
      <c r="F63" s="6">
        <f>IFERROR(E63*2,"")</f>
        <v/>
      </c>
      <c r="G63" s="6">
        <f>'02_Exchange_Flux'!H63</f>
        <v/>
      </c>
      <c r="H63" s="6">
        <f>'02_Exchange_Flux'!K63</f>
        <v/>
      </c>
      <c r="I63" s="6">
        <f>IFERROR(MAX(0,F63-G63-H63),"")</f>
        <v/>
      </c>
      <c r="J63" s="6">
        <f>'02_Exchange_Flux'!I63</f>
        <v/>
      </c>
      <c r="K63" s="6">
        <f>'02_Exchange_Flux'!J63</f>
        <v/>
      </c>
      <c r="L63" s="6">
        <f>IFERROR(MAX(0,J63-K63),"")</f>
        <v/>
      </c>
      <c r="M63" s="6">
        <f>IFERROR(I63+L63,"")</f>
        <v/>
      </c>
      <c r="N63" s="6">
        <f>IFERROR(SUM('02_Exchange_Flux'!L63:Q63),"")</f>
        <v/>
      </c>
      <c r="O63" s="6">
        <f>IFERROR(ABS('02_Exchange_Flux'!M63)+ABS('02_Exchange_Flux'!S63),"")</f>
        <v/>
      </c>
      <c r="P63" s="6">
        <f>'02_Exchange_Flux'!R63</f>
        <v/>
      </c>
      <c r="Q63" s="6">
        <f>IFERROR(G63/F63,"")</f>
        <v/>
      </c>
      <c r="R63" s="2">
        <f>IF(A63="","",IF(Q63&gt;0.7,"High lactate overflow",IF(M63&gt;L63,"TCA-biased proxy","Balanced/Review")))</f>
        <v/>
      </c>
    </row>
    <row r="64">
      <c r="A64" s="2">
        <f>'02_Exchange_Flux'!A64</f>
        <v/>
      </c>
      <c r="B64" s="2">
        <f>'02_Exchange_Flux'!B64</f>
        <v/>
      </c>
      <c r="C64" s="2">
        <f>'02_Exchange_Flux'!C64</f>
        <v/>
      </c>
      <c r="D64" s="2">
        <f>'02_Exchange_Flux'!D64</f>
        <v/>
      </c>
      <c r="E64" s="6">
        <f>'02_Exchange_Flux'!G64</f>
        <v/>
      </c>
      <c r="F64" s="6">
        <f>IFERROR(E64*2,"")</f>
        <v/>
      </c>
      <c r="G64" s="6">
        <f>'02_Exchange_Flux'!H64</f>
        <v/>
      </c>
      <c r="H64" s="6">
        <f>'02_Exchange_Flux'!K64</f>
        <v/>
      </c>
      <c r="I64" s="6">
        <f>IFERROR(MAX(0,F64-G64-H64),"")</f>
        <v/>
      </c>
      <c r="J64" s="6">
        <f>'02_Exchange_Flux'!I64</f>
        <v/>
      </c>
      <c r="K64" s="6">
        <f>'02_Exchange_Flux'!J64</f>
        <v/>
      </c>
      <c r="L64" s="6">
        <f>IFERROR(MAX(0,J64-K64),"")</f>
        <v/>
      </c>
      <c r="M64" s="6">
        <f>IFERROR(I64+L64,"")</f>
        <v/>
      </c>
      <c r="N64" s="6">
        <f>IFERROR(SUM('02_Exchange_Flux'!L64:Q64),"")</f>
        <v/>
      </c>
      <c r="O64" s="6">
        <f>IFERROR(ABS('02_Exchange_Flux'!M64)+ABS('02_Exchange_Flux'!S64),"")</f>
        <v/>
      </c>
      <c r="P64" s="6">
        <f>'02_Exchange_Flux'!R64</f>
        <v/>
      </c>
      <c r="Q64" s="6">
        <f>IFERROR(G64/F64,"")</f>
        <v/>
      </c>
      <c r="R64" s="2">
        <f>IF(A64="","",IF(Q64&gt;0.7,"High lactate overflow",IF(M64&gt;L64,"TCA-biased proxy","Balanced/Review")))</f>
        <v/>
      </c>
    </row>
    <row r="65">
      <c r="A65" s="2">
        <f>'02_Exchange_Flux'!A65</f>
        <v/>
      </c>
      <c r="B65" s="2">
        <f>'02_Exchange_Flux'!B65</f>
        <v/>
      </c>
      <c r="C65" s="2">
        <f>'02_Exchange_Flux'!C65</f>
        <v/>
      </c>
      <c r="D65" s="2">
        <f>'02_Exchange_Flux'!D65</f>
        <v/>
      </c>
      <c r="E65" s="6">
        <f>'02_Exchange_Flux'!G65</f>
        <v/>
      </c>
      <c r="F65" s="6">
        <f>IFERROR(E65*2,"")</f>
        <v/>
      </c>
      <c r="G65" s="6">
        <f>'02_Exchange_Flux'!H65</f>
        <v/>
      </c>
      <c r="H65" s="6">
        <f>'02_Exchange_Flux'!K65</f>
        <v/>
      </c>
      <c r="I65" s="6">
        <f>IFERROR(MAX(0,F65-G65-H65),"")</f>
        <v/>
      </c>
      <c r="J65" s="6">
        <f>'02_Exchange_Flux'!I65</f>
        <v/>
      </c>
      <c r="K65" s="6">
        <f>'02_Exchange_Flux'!J65</f>
        <v/>
      </c>
      <c r="L65" s="6">
        <f>IFERROR(MAX(0,J65-K65),"")</f>
        <v/>
      </c>
      <c r="M65" s="6">
        <f>IFERROR(I65+L65,"")</f>
        <v/>
      </c>
      <c r="N65" s="6">
        <f>IFERROR(SUM('02_Exchange_Flux'!L65:Q65),"")</f>
        <v/>
      </c>
      <c r="O65" s="6">
        <f>IFERROR(ABS('02_Exchange_Flux'!M65)+ABS('02_Exchange_Flux'!S65),"")</f>
        <v/>
      </c>
      <c r="P65" s="6">
        <f>'02_Exchange_Flux'!R65</f>
        <v/>
      </c>
      <c r="Q65" s="6">
        <f>IFERROR(G65/F65,"")</f>
        <v/>
      </c>
      <c r="R65" s="2">
        <f>IF(A65="","",IF(Q65&gt;0.7,"High lactate overflow",IF(M65&gt;L65,"TCA-biased proxy","Balanced/Review")))</f>
        <v/>
      </c>
    </row>
    <row r="66">
      <c r="A66" s="2">
        <f>'02_Exchange_Flux'!A66</f>
        <v/>
      </c>
      <c r="B66" s="2">
        <f>'02_Exchange_Flux'!B66</f>
        <v/>
      </c>
      <c r="C66" s="2">
        <f>'02_Exchange_Flux'!C66</f>
        <v/>
      </c>
      <c r="D66" s="2">
        <f>'02_Exchange_Flux'!D66</f>
        <v/>
      </c>
      <c r="E66" s="6">
        <f>'02_Exchange_Flux'!G66</f>
        <v/>
      </c>
      <c r="F66" s="6">
        <f>IFERROR(E66*2,"")</f>
        <v/>
      </c>
      <c r="G66" s="6">
        <f>'02_Exchange_Flux'!H66</f>
        <v/>
      </c>
      <c r="H66" s="6">
        <f>'02_Exchange_Flux'!K66</f>
        <v/>
      </c>
      <c r="I66" s="6">
        <f>IFERROR(MAX(0,F66-G66-H66),"")</f>
        <v/>
      </c>
      <c r="J66" s="6">
        <f>'02_Exchange_Flux'!I66</f>
        <v/>
      </c>
      <c r="K66" s="6">
        <f>'02_Exchange_Flux'!J66</f>
        <v/>
      </c>
      <c r="L66" s="6">
        <f>IFERROR(MAX(0,J66-K66),"")</f>
        <v/>
      </c>
      <c r="M66" s="6">
        <f>IFERROR(I66+L66,"")</f>
        <v/>
      </c>
      <c r="N66" s="6">
        <f>IFERROR(SUM('02_Exchange_Flux'!L66:Q66),"")</f>
        <v/>
      </c>
      <c r="O66" s="6">
        <f>IFERROR(ABS('02_Exchange_Flux'!M66)+ABS('02_Exchange_Flux'!S66),"")</f>
        <v/>
      </c>
      <c r="P66" s="6">
        <f>'02_Exchange_Flux'!R66</f>
        <v/>
      </c>
      <c r="Q66" s="6">
        <f>IFERROR(G66/F66,"")</f>
        <v/>
      </c>
      <c r="R66" s="2">
        <f>IF(A66="","",IF(Q66&gt;0.7,"High lactate overflow",IF(M66&gt;L66,"TCA-biased proxy","Balanced/Review")))</f>
        <v/>
      </c>
    </row>
    <row r="67">
      <c r="A67" s="2">
        <f>'02_Exchange_Flux'!A67</f>
        <v/>
      </c>
      <c r="B67" s="2">
        <f>'02_Exchange_Flux'!B67</f>
        <v/>
      </c>
      <c r="C67" s="2">
        <f>'02_Exchange_Flux'!C67</f>
        <v/>
      </c>
      <c r="D67" s="2">
        <f>'02_Exchange_Flux'!D67</f>
        <v/>
      </c>
      <c r="E67" s="6">
        <f>'02_Exchange_Flux'!G67</f>
        <v/>
      </c>
      <c r="F67" s="6">
        <f>IFERROR(E67*2,"")</f>
        <v/>
      </c>
      <c r="G67" s="6">
        <f>'02_Exchange_Flux'!H67</f>
        <v/>
      </c>
      <c r="H67" s="6">
        <f>'02_Exchange_Flux'!K67</f>
        <v/>
      </c>
      <c r="I67" s="6">
        <f>IFERROR(MAX(0,F67-G67-H67),"")</f>
        <v/>
      </c>
      <c r="J67" s="6">
        <f>'02_Exchange_Flux'!I67</f>
        <v/>
      </c>
      <c r="K67" s="6">
        <f>'02_Exchange_Flux'!J67</f>
        <v/>
      </c>
      <c r="L67" s="6">
        <f>IFERROR(MAX(0,J67-K67),"")</f>
        <v/>
      </c>
      <c r="M67" s="6">
        <f>IFERROR(I67+L67,"")</f>
        <v/>
      </c>
      <c r="N67" s="6">
        <f>IFERROR(SUM('02_Exchange_Flux'!L67:Q67),"")</f>
        <v/>
      </c>
      <c r="O67" s="6">
        <f>IFERROR(ABS('02_Exchange_Flux'!M67)+ABS('02_Exchange_Flux'!S67),"")</f>
        <v/>
      </c>
      <c r="P67" s="6">
        <f>'02_Exchange_Flux'!R67</f>
        <v/>
      </c>
      <c r="Q67" s="6">
        <f>IFERROR(G67/F67,"")</f>
        <v/>
      </c>
      <c r="R67" s="2">
        <f>IF(A67="","",IF(Q67&gt;0.7,"High lactate overflow",IF(M67&gt;L67,"TCA-biased proxy","Balanced/Review")))</f>
        <v/>
      </c>
    </row>
    <row r="68">
      <c r="A68" s="2">
        <f>'02_Exchange_Flux'!A68</f>
        <v/>
      </c>
      <c r="B68" s="2">
        <f>'02_Exchange_Flux'!B68</f>
        <v/>
      </c>
      <c r="C68" s="2">
        <f>'02_Exchange_Flux'!C68</f>
        <v/>
      </c>
      <c r="D68" s="2">
        <f>'02_Exchange_Flux'!D68</f>
        <v/>
      </c>
      <c r="E68" s="6">
        <f>'02_Exchange_Flux'!G68</f>
        <v/>
      </c>
      <c r="F68" s="6">
        <f>IFERROR(E68*2,"")</f>
        <v/>
      </c>
      <c r="G68" s="6">
        <f>'02_Exchange_Flux'!H68</f>
        <v/>
      </c>
      <c r="H68" s="6">
        <f>'02_Exchange_Flux'!K68</f>
        <v/>
      </c>
      <c r="I68" s="6">
        <f>IFERROR(MAX(0,F68-G68-H68),"")</f>
        <v/>
      </c>
      <c r="J68" s="6">
        <f>'02_Exchange_Flux'!I68</f>
        <v/>
      </c>
      <c r="K68" s="6">
        <f>'02_Exchange_Flux'!J68</f>
        <v/>
      </c>
      <c r="L68" s="6">
        <f>IFERROR(MAX(0,J68-K68),"")</f>
        <v/>
      </c>
      <c r="M68" s="6">
        <f>IFERROR(I68+L68,"")</f>
        <v/>
      </c>
      <c r="N68" s="6">
        <f>IFERROR(SUM('02_Exchange_Flux'!L68:Q68),"")</f>
        <v/>
      </c>
      <c r="O68" s="6">
        <f>IFERROR(ABS('02_Exchange_Flux'!M68)+ABS('02_Exchange_Flux'!S68),"")</f>
        <v/>
      </c>
      <c r="P68" s="6">
        <f>'02_Exchange_Flux'!R68</f>
        <v/>
      </c>
      <c r="Q68" s="6">
        <f>IFERROR(G68/F68,"")</f>
        <v/>
      </c>
      <c r="R68" s="2">
        <f>IF(A68="","",IF(Q68&gt;0.7,"High lactate overflow",IF(M68&gt;L68,"TCA-biased proxy","Balanced/Review")))</f>
        <v/>
      </c>
    </row>
    <row r="69">
      <c r="A69" s="2">
        <f>'02_Exchange_Flux'!A69</f>
        <v/>
      </c>
      <c r="B69" s="2">
        <f>'02_Exchange_Flux'!B69</f>
        <v/>
      </c>
      <c r="C69" s="2">
        <f>'02_Exchange_Flux'!C69</f>
        <v/>
      </c>
      <c r="D69" s="2">
        <f>'02_Exchange_Flux'!D69</f>
        <v/>
      </c>
      <c r="E69" s="6">
        <f>'02_Exchange_Flux'!G69</f>
        <v/>
      </c>
      <c r="F69" s="6">
        <f>IFERROR(E69*2,"")</f>
        <v/>
      </c>
      <c r="G69" s="6">
        <f>'02_Exchange_Flux'!H69</f>
        <v/>
      </c>
      <c r="H69" s="6">
        <f>'02_Exchange_Flux'!K69</f>
        <v/>
      </c>
      <c r="I69" s="6">
        <f>IFERROR(MAX(0,F69-G69-H69),"")</f>
        <v/>
      </c>
      <c r="J69" s="6">
        <f>'02_Exchange_Flux'!I69</f>
        <v/>
      </c>
      <c r="K69" s="6">
        <f>'02_Exchange_Flux'!J69</f>
        <v/>
      </c>
      <c r="L69" s="6">
        <f>IFERROR(MAX(0,J69-K69),"")</f>
        <v/>
      </c>
      <c r="M69" s="6">
        <f>IFERROR(I69+L69,"")</f>
        <v/>
      </c>
      <c r="N69" s="6">
        <f>IFERROR(SUM('02_Exchange_Flux'!L69:Q69),"")</f>
        <v/>
      </c>
      <c r="O69" s="6">
        <f>IFERROR(ABS('02_Exchange_Flux'!M69)+ABS('02_Exchange_Flux'!S69),"")</f>
        <v/>
      </c>
      <c r="P69" s="6">
        <f>'02_Exchange_Flux'!R69</f>
        <v/>
      </c>
      <c r="Q69" s="6">
        <f>IFERROR(G69/F69,"")</f>
        <v/>
      </c>
      <c r="R69" s="2">
        <f>IF(A69="","",IF(Q69&gt;0.7,"High lactate overflow",IF(M69&gt;L69,"TCA-biased proxy","Balanced/Review")))</f>
        <v/>
      </c>
    </row>
    <row r="70">
      <c r="A70" s="2">
        <f>'02_Exchange_Flux'!A70</f>
        <v/>
      </c>
      <c r="B70" s="2">
        <f>'02_Exchange_Flux'!B70</f>
        <v/>
      </c>
      <c r="C70" s="2">
        <f>'02_Exchange_Flux'!C70</f>
        <v/>
      </c>
      <c r="D70" s="2">
        <f>'02_Exchange_Flux'!D70</f>
        <v/>
      </c>
      <c r="E70" s="6">
        <f>'02_Exchange_Flux'!G70</f>
        <v/>
      </c>
      <c r="F70" s="6">
        <f>IFERROR(E70*2,"")</f>
        <v/>
      </c>
      <c r="G70" s="6">
        <f>'02_Exchange_Flux'!H70</f>
        <v/>
      </c>
      <c r="H70" s="6">
        <f>'02_Exchange_Flux'!K70</f>
        <v/>
      </c>
      <c r="I70" s="6">
        <f>IFERROR(MAX(0,F70-G70-H70),"")</f>
        <v/>
      </c>
      <c r="J70" s="6">
        <f>'02_Exchange_Flux'!I70</f>
        <v/>
      </c>
      <c r="K70" s="6">
        <f>'02_Exchange_Flux'!J70</f>
        <v/>
      </c>
      <c r="L70" s="6">
        <f>IFERROR(MAX(0,J70-K70),"")</f>
        <v/>
      </c>
      <c r="M70" s="6">
        <f>IFERROR(I70+L70,"")</f>
        <v/>
      </c>
      <c r="N70" s="6">
        <f>IFERROR(SUM('02_Exchange_Flux'!L70:Q70),"")</f>
        <v/>
      </c>
      <c r="O70" s="6">
        <f>IFERROR(ABS('02_Exchange_Flux'!M70)+ABS('02_Exchange_Flux'!S70),"")</f>
        <v/>
      </c>
      <c r="P70" s="6">
        <f>'02_Exchange_Flux'!R70</f>
        <v/>
      </c>
      <c r="Q70" s="6">
        <f>IFERROR(G70/F70,"")</f>
        <v/>
      </c>
      <c r="R70" s="2">
        <f>IF(A70="","",IF(Q70&gt;0.7,"High lactate overflow",IF(M70&gt;L70,"TCA-biased proxy","Balanced/Review")))</f>
        <v/>
      </c>
    </row>
    <row r="71">
      <c r="A71" s="2">
        <f>'02_Exchange_Flux'!A71</f>
        <v/>
      </c>
      <c r="B71" s="2">
        <f>'02_Exchange_Flux'!B71</f>
        <v/>
      </c>
      <c r="C71" s="2">
        <f>'02_Exchange_Flux'!C71</f>
        <v/>
      </c>
      <c r="D71" s="2">
        <f>'02_Exchange_Flux'!D71</f>
        <v/>
      </c>
      <c r="E71" s="6">
        <f>'02_Exchange_Flux'!G71</f>
        <v/>
      </c>
      <c r="F71" s="6">
        <f>IFERROR(E71*2,"")</f>
        <v/>
      </c>
      <c r="G71" s="6">
        <f>'02_Exchange_Flux'!H71</f>
        <v/>
      </c>
      <c r="H71" s="6">
        <f>'02_Exchange_Flux'!K71</f>
        <v/>
      </c>
      <c r="I71" s="6">
        <f>IFERROR(MAX(0,F71-G71-H71),"")</f>
        <v/>
      </c>
      <c r="J71" s="6">
        <f>'02_Exchange_Flux'!I71</f>
        <v/>
      </c>
      <c r="K71" s="6">
        <f>'02_Exchange_Flux'!J71</f>
        <v/>
      </c>
      <c r="L71" s="6">
        <f>IFERROR(MAX(0,J71-K71),"")</f>
        <v/>
      </c>
      <c r="M71" s="6">
        <f>IFERROR(I71+L71,"")</f>
        <v/>
      </c>
      <c r="N71" s="6">
        <f>IFERROR(SUM('02_Exchange_Flux'!L71:Q71),"")</f>
        <v/>
      </c>
      <c r="O71" s="6">
        <f>IFERROR(ABS('02_Exchange_Flux'!M71)+ABS('02_Exchange_Flux'!S71),"")</f>
        <v/>
      </c>
      <c r="P71" s="6">
        <f>'02_Exchange_Flux'!R71</f>
        <v/>
      </c>
      <c r="Q71" s="6">
        <f>IFERROR(G71/F71,"")</f>
        <v/>
      </c>
      <c r="R71" s="2">
        <f>IF(A71="","",IF(Q71&gt;0.7,"High lactate overflow",IF(M71&gt;L71,"TCA-biased proxy","Balanced/Review")))</f>
        <v/>
      </c>
    </row>
    <row r="72">
      <c r="A72" s="2">
        <f>'02_Exchange_Flux'!A72</f>
        <v/>
      </c>
      <c r="B72" s="2">
        <f>'02_Exchange_Flux'!B72</f>
        <v/>
      </c>
      <c r="C72" s="2">
        <f>'02_Exchange_Flux'!C72</f>
        <v/>
      </c>
      <c r="D72" s="2">
        <f>'02_Exchange_Flux'!D72</f>
        <v/>
      </c>
      <c r="E72" s="6">
        <f>'02_Exchange_Flux'!G72</f>
        <v/>
      </c>
      <c r="F72" s="6">
        <f>IFERROR(E72*2,"")</f>
        <v/>
      </c>
      <c r="G72" s="6">
        <f>'02_Exchange_Flux'!H72</f>
        <v/>
      </c>
      <c r="H72" s="6">
        <f>'02_Exchange_Flux'!K72</f>
        <v/>
      </c>
      <c r="I72" s="6">
        <f>IFERROR(MAX(0,F72-G72-H72),"")</f>
        <v/>
      </c>
      <c r="J72" s="6">
        <f>'02_Exchange_Flux'!I72</f>
        <v/>
      </c>
      <c r="K72" s="6">
        <f>'02_Exchange_Flux'!J72</f>
        <v/>
      </c>
      <c r="L72" s="6">
        <f>IFERROR(MAX(0,J72-K72),"")</f>
        <v/>
      </c>
      <c r="M72" s="6">
        <f>IFERROR(I72+L72,"")</f>
        <v/>
      </c>
      <c r="N72" s="6">
        <f>IFERROR(SUM('02_Exchange_Flux'!L72:Q72),"")</f>
        <v/>
      </c>
      <c r="O72" s="6">
        <f>IFERROR(ABS('02_Exchange_Flux'!M72)+ABS('02_Exchange_Flux'!S72),"")</f>
        <v/>
      </c>
      <c r="P72" s="6">
        <f>'02_Exchange_Flux'!R72</f>
        <v/>
      </c>
      <c r="Q72" s="6">
        <f>IFERROR(G72/F72,"")</f>
        <v/>
      </c>
      <c r="R72" s="2">
        <f>IF(A72="","",IF(Q72&gt;0.7,"High lactate overflow",IF(M72&gt;L72,"TCA-biased proxy","Balanced/Review")))</f>
        <v/>
      </c>
    </row>
    <row r="73">
      <c r="A73" s="2">
        <f>'02_Exchange_Flux'!A73</f>
        <v/>
      </c>
      <c r="B73" s="2">
        <f>'02_Exchange_Flux'!B73</f>
        <v/>
      </c>
      <c r="C73" s="2">
        <f>'02_Exchange_Flux'!C73</f>
        <v/>
      </c>
      <c r="D73" s="2">
        <f>'02_Exchange_Flux'!D73</f>
        <v/>
      </c>
      <c r="E73" s="6">
        <f>'02_Exchange_Flux'!G73</f>
        <v/>
      </c>
      <c r="F73" s="6">
        <f>IFERROR(E73*2,"")</f>
        <v/>
      </c>
      <c r="G73" s="6">
        <f>'02_Exchange_Flux'!H73</f>
        <v/>
      </c>
      <c r="H73" s="6">
        <f>'02_Exchange_Flux'!K73</f>
        <v/>
      </c>
      <c r="I73" s="6">
        <f>IFERROR(MAX(0,F73-G73-H73),"")</f>
        <v/>
      </c>
      <c r="J73" s="6">
        <f>'02_Exchange_Flux'!I73</f>
        <v/>
      </c>
      <c r="K73" s="6">
        <f>'02_Exchange_Flux'!J73</f>
        <v/>
      </c>
      <c r="L73" s="6">
        <f>IFERROR(MAX(0,J73-K73),"")</f>
        <v/>
      </c>
      <c r="M73" s="6">
        <f>IFERROR(I73+L73,"")</f>
        <v/>
      </c>
      <c r="N73" s="6">
        <f>IFERROR(SUM('02_Exchange_Flux'!L73:Q73),"")</f>
        <v/>
      </c>
      <c r="O73" s="6">
        <f>IFERROR(ABS('02_Exchange_Flux'!M73)+ABS('02_Exchange_Flux'!S73),"")</f>
        <v/>
      </c>
      <c r="P73" s="6">
        <f>'02_Exchange_Flux'!R73</f>
        <v/>
      </c>
      <c r="Q73" s="6">
        <f>IFERROR(G73/F73,"")</f>
        <v/>
      </c>
      <c r="R73" s="2">
        <f>IF(A73="","",IF(Q73&gt;0.7,"High lactate overflow",IF(M73&gt;L73,"TCA-biased proxy","Balanced/Review")))</f>
        <v/>
      </c>
    </row>
    <row r="74">
      <c r="A74" s="2">
        <f>'02_Exchange_Flux'!A74</f>
        <v/>
      </c>
      <c r="B74" s="2">
        <f>'02_Exchange_Flux'!B74</f>
        <v/>
      </c>
      <c r="C74" s="2">
        <f>'02_Exchange_Flux'!C74</f>
        <v/>
      </c>
      <c r="D74" s="2">
        <f>'02_Exchange_Flux'!D74</f>
        <v/>
      </c>
      <c r="E74" s="6">
        <f>'02_Exchange_Flux'!G74</f>
        <v/>
      </c>
      <c r="F74" s="6">
        <f>IFERROR(E74*2,"")</f>
        <v/>
      </c>
      <c r="G74" s="6">
        <f>'02_Exchange_Flux'!H74</f>
        <v/>
      </c>
      <c r="H74" s="6">
        <f>'02_Exchange_Flux'!K74</f>
        <v/>
      </c>
      <c r="I74" s="6">
        <f>IFERROR(MAX(0,F74-G74-H74),"")</f>
        <v/>
      </c>
      <c r="J74" s="6">
        <f>'02_Exchange_Flux'!I74</f>
        <v/>
      </c>
      <c r="K74" s="6">
        <f>'02_Exchange_Flux'!J74</f>
        <v/>
      </c>
      <c r="L74" s="6">
        <f>IFERROR(MAX(0,J74-K74),"")</f>
        <v/>
      </c>
      <c r="M74" s="6">
        <f>IFERROR(I74+L74,"")</f>
        <v/>
      </c>
      <c r="N74" s="6">
        <f>IFERROR(SUM('02_Exchange_Flux'!L74:Q74),"")</f>
        <v/>
      </c>
      <c r="O74" s="6">
        <f>IFERROR(ABS('02_Exchange_Flux'!M74)+ABS('02_Exchange_Flux'!S74),"")</f>
        <v/>
      </c>
      <c r="P74" s="6">
        <f>'02_Exchange_Flux'!R74</f>
        <v/>
      </c>
      <c r="Q74" s="6">
        <f>IFERROR(G74/F74,"")</f>
        <v/>
      </c>
      <c r="R74" s="2">
        <f>IF(A74="","",IF(Q74&gt;0.7,"High lactate overflow",IF(M74&gt;L74,"TCA-biased proxy","Balanced/Review")))</f>
        <v/>
      </c>
    </row>
    <row r="75">
      <c r="A75" s="2">
        <f>'02_Exchange_Flux'!A75</f>
        <v/>
      </c>
      <c r="B75" s="2">
        <f>'02_Exchange_Flux'!B75</f>
        <v/>
      </c>
      <c r="C75" s="2">
        <f>'02_Exchange_Flux'!C75</f>
        <v/>
      </c>
      <c r="D75" s="2">
        <f>'02_Exchange_Flux'!D75</f>
        <v/>
      </c>
      <c r="E75" s="6">
        <f>'02_Exchange_Flux'!G75</f>
        <v/>
      </c>
      <c r="F75" s="6">
        <f>IFERROR(E75*2,"")</f>
        <v/>
      </c>
      <c r="G75" s="6">
        <f>'02_Exchange_Flux'!H75</f>
        <v/>
      </c>
      <c r="H75" s="6">
        <f>'02_Exchange_Flux'!K75</f>
        <v/>
      </c>
      <c r="I75" s="6">
        <f>IFERROR(MAX(0,F75-G75-H75),"")</f>
        <v/>
      </c>
      <c r="J75" s="6">
        <f>'02_Exchange_Flux'!I75</f>
        <v/>
      </c>
      <c r="K75" s="6">
        <f>'02_Exchange_Flux'!J75</f>
        <v/>
      </c>
      <c r="L75" s="6">
        <f>IFERROR(MAX(0,J75-K75),"")</f>
        <v/>
      </c>
      <c r="M75" s="6">
        <f>IFERROR(I75+L75,"")</f>
        <v/>
      </c>
      <c r="N75" s="6">
        <f>IFERROR(SUM('02_Exchange_Flux'!L75:Q75),"")</f>
        <v/>
      </c>
      <c r="O75" s="6">
        <f>IFERROR(ABS('02_Exchange_Flux'!M75)+ABS('02_Exchange_Flux'!S75),"")</f>
        <v/>
      </c>
      <c r="P75" s="6">
        <f>'02_Exchange_Flux'!R75</f>
        <v/>
      </c>
      <c r="Q75" s="6">
        <f>IFERROR(G75/F75,"")</f>
        <v/>
      </c>
      <c r="R75" s="2">
        <f>IF(A75="","",IF(Q75&gt;0.7,"High lactate overflow",IF(M75&gt;L75,"TCA-biased proxy","Balanced/Review")))</f>
        <v/>
      </c>
    </row>
    <row r="76">
      <c r="A76" s="2">
        <f>'02_Exchange_Flux'!A76</f>
        <v/>
      </c>
      <c r="B76" s="2">
        <f>'02_Exchange_Flux'!B76</f>
        <v/>
      </c>
      <c r="C76" s="2">
        <f>'02_Exchange_Flux'!C76</f>
        <v/>
      </c>
      <c r="D76" s="2">
        <f>'02_Exchange_Flux'!D76</f>
        <v/>
      </c>
      <c r="E76" s="6">
        <f>'02_Exchange_Flux'!G76</f>
        <v/>
      </c>
      <c r="F76" s="6">
        <f>IFERROR(E76*2,"")</f>
        <v/>
      </c>
      <c r="G76" s="6">
        <f>'02_Exchange_Flux'!H76</f>
        <v/>
      </c>
      <c r="H76" s="6">
        <f>'02_Exchange_Flux'!K76</f>
        <v/>
      </c>
      <c r="I76" s="6">
        <f>IFERROR(MAX(0,F76-G76-H76),"")</f>
        <v/>
      </c>
      <c r="J76" s="6">
        <f>'02_Exchange_Flux'!I76</f>
        <v/>
      </c>
      <c r="K76" s="6">
        <f>'02_Exchange_Flux'!J76</f>
        <v/>
      </c>
      <c r="L76" s="6">
        <f>IFERROR(MAX(0,J76-K76),"")</f>
        <v/>
      </c>
      <c r="M76" s="6">
        <f>IFERROR(I76+L76,"")</f>
        <v/>
      </c>
      <c r="N76" s="6">
        <f>IFERROR(SUM('02_Exchange_Flux'!L76:Q76),"")</f>
        <v/>
      </c>
      <c r="O76" s="6">
        <f>IFERROR(ABS('02_Exchange_Flux'!M76)+ABS('02_Exchange_Flux'!S76),"")</f>
        <v/>
      </c>
      <c r="P76" s="6">
        <f>'02_Exchange_Flux'!R76</f>
        <v/>
      </c>
      <c r="Q76" s="6">
        <f>IFERROR(G76/F76,"")</f>
        <v/>
      </c>
      <c r="R76" s="2">
        <f>IF(A76="","",IF(Q76&gt;0.7,"High lactate overflow",IF(M76&gt;L76,"TCA-biased proxy","Balanced/Review")))</f>
        <v/>
      </c>
    </row>
    <row r="77">
      <c r="A77" s="2">
        <f>'02_Exchange_Flux'!A77</f>
        <v/>
      </c>
      <c r="B77" s="2">
        <f>'02_Exchange_Flux'!B77</f>
        <v/>
      </c>
      <c r="C77" s="2">
        <f>'02_Exchange_Flux'!C77</f>
        <v/>
      </c>
      <c r="D77" s="2">
        <f>'02_Exchange_Flux'!D77</f>
        <v/>
      </c>
      <c r="E77" s="6">
        <f>'02_Exchange_Flux'!G77</f>
        <v/>
      </c>
      <c r="F77" s="6">
        <f>IFERROR(E77*2,"")</f>
        <v/>
      </c>
      <c r="G77" s="6">
        <f>'02_Exchange_Flux'!H77</f>
        <v/>
      </c>
      <c r="H77" s="6">
        <f>'02_Exchange_Flux'!K77</f>
        <v/>
      </c>
      <c r="I77" s="6">
        <f>IFERROR(MAX(0,F77-G77-H77),"")</f>
        <v/>
      </c>
      <c r="J77" s="6">
        <f>'02_Exchange_Flux'!I77</f>
        <v/>
      </c>
      <c r="K77" s="6">
        <f>'02_Exchange_Flux'!J77</f>
        <v/>
      </c>
      <c r="L77" s="6">
        <f>IFERROR(MAX(0,J77-K77),"")</f>
        <v/>
      </c>
      <c r="M77" s="6">
        <f>IFERROR(I77+L77,"")</f>
        <v/>
      </c>
      <c r="N77" s="6">
        <f>IFERROR(SUM('02_Exchange_Flux'!L77:Q77),"")</f>
        <v/>
      </c>
      <c r="O77" s="6">
        <f>IFERROR(ABS('02_Exchange_Flux'!M77)+ABS('02_Exchange_Flux'!S77),"")</f>
        <v/>
      </c>
      <c r="P77" s="6">
        <f>'02_Exchange_Flux'!R77</f>
        <v/>
      </c>
      <c r="Q77" s="6">
        <f>IFERROR(G77/F77,"")</f>
        <v/>
      </c>
      <c r="R77" s="2">
        <f>IF(A77="","",IF(Q77&gt;0.7,"High lactate overflow",IF(M77&gt;L77,"TCA-biased proxy","Balanced/Review")))</f>
        <v/>
      </c>
    </row>
    <row r="78">
      <c r="A78" s="2">
        <f>'02_Exchange_Flux'!A78</f>
        <v/>
      </c>
      <c r="B78" s="2">
        <f>'02_Exchange_Flux'!B78</f>
        <v/>
      </c>
      <c r="C78" s="2">
        <f>'02_Exchange_Flux'!C78</f>
        <v/>
      </c>
      <c r="D78" s="2">
        <f>'02_Exchange_Flux'!D78</f>
        <v/>
      </c>
      <c r="E78" s="6">
        <f>'02_Exchange_Flux'!G78</f>
        <v/>
      </c>
      <c r="F78" s="6">
        <f>IFERROR(E78*2,"")</f>
        <v/>
      </c>
      <c r="G78" s="6">
        <f>'02_Exchange_Flux'!H78</f>
        <v/>
      </c>
      <c r="H78" s="6">
        <f>'02_Exchange_Flux'!K78</f>
        <v/>
      </c>
      <c r="I78" s="6">
        <f>IFERROR(MAX(0,F78-G78-H78),"")</f>
        <v/>
      </c>
      <c r="J78" s="6">
        <f>'02_Exchange_Flux'!I78</f>
        <v/>
      </c>
      <c r="K78" s="6">
        <f>'02_Exchange_Flux'!J78</f>
        <v/>
      </c>
      <c r="L78" s="6">
        <f>IFERROR(MAX(0,J78-K78),"")</f>
        <v/>
      </c>
      <c r="M78" s="6">
        <f>IFERROR(I78+L78,"")</f>
        <v/>
      </c>
      <c r="N78" s="6">
        <f>IFERROR(SUM('02_Exchange_Flux'!L78:Q78),"")</f>
        <v/>
      </c>
      <c r="O78" s="6">
        <f>IFERROR(ABS('02_Exchange_Flux'!M78)+ABS('02_Exchange_Flux'!S78),"")</f>
        <v/>
      </c>
      <c r="P78" s="6">
        <f>'02_Exchange_Flux'!R78</f>
        <v/>
      </c>
      <c r="Q78" s="6">
        <f>IFERROR(G78/F78,"")</f>
        <v/>
      </c>
      <c r="R78" s="2">
        <f>IF(A78="","",IF(Q78&gt;0.7,"High lactate overflow",IF(M78&gt;L78,"TCA-biased proxy","Balanced/Review")))</f>
        <v/>
      </c>
    </row>
    <row r="79">
      <c r="A79" s="2">
        <f>'02_Exchange_Flux'!A79</f>
        <v/>
      </c>
      <c r="B79" s="2">
        <f>'02_Exchange_Flux'!B79</f>
        <v/>
      </c>
      <c r="C79" s="2">
        <f>'02_Exchange_Flux'!C79</f>
        <v/>
      </c>
      <c r="D79" s="2">
        <f>'02_Exchange_Flux'!D79</f>
        <v/>
      </c>
      <c r="E79" s="6">
        <f>'02_Exchange_Flux'!G79</f>
        <v/>
      </c>
      <c r="F79" s="6">
        <f>IFERROR(E79*2,"")</f>
        <v/>
      </c>
      <c r="G79" s="6">
        <f>'02_Exchange_Flux'!H79</f>
        <v/>
      </c>
      <c r="H79" s="6">
        <f>'02_Exchange_Flux'!K79</f>
        <v/>
      </c>
      <c r="I79" s="6">
        <f>IFERROR(MAX(0,F79-G79-H79),"")</f>
        <v/>
      </c>
      <c r="J79" s="6">
        <f>'02_Exchange_Flux'!I79</f>
        <v/>
      </c>
      <c r="K79" s="6">
        <f>'02_Exchange_Flux'!J79</f>
        <v/>
      </c>
      <c r="L79" s="6">
        <f>IFERROR(MAX(0,J79-K79),"")</f>
        <v/>
      </c>
      <c r="M79" s="6">
        <f>IFERROR(I79+L79,"")</f>
        <v/>
      </c>
      <c r="N79" s="6">
        <f>IFERROR(SUM('02_Exchange_Flux'!L79:Q79),"")</f>
        <v/>
      </c>
      <c r="O79" s="6">
        <f>IFERROR(ABS('02_Exchange_Flux'!M79)+ABS('02_Exchange_Flux'!S79),"")</f>
        <v/>
      </c>
      <c r="P79" s="6">
        <f>'02_Exchange_Flux'!R79</f>
        <v/>
      </c>
      <c r="Q79" s="6">
        <f>IFERROR(G79/F79,"")</f>
        <v/>
      </c>
      <c r="R79" s="2">
        <f>IF(A79="","",IF(Q79&gt;0.7,"High lactate overflow",IF(M79&gt;L79,"TCA-biased proxy","Balanced/Review")))</f>
        <v/>
      </c>
    </row>
    <row r="80">
      <c r="A80" s="2">
        <f>'02_Exchange_Flux'!A80</f>
        <v/>
      </c>
      <c r="B80" s="2">
        <f>'02_Exchange_Flux'!B80</f>
        <v/>
      </c>
      <c r="C80" s="2">
        <f>'02_Exchange_Flux'!C80</f>
        <v/>
      </c>
      <c r="D80" s="2">
        <f>'02_Exchange_Flux'!D80</f>
        <v/>
      </c>
      <c r="E80" s="6">
        <f>'02_Exchange_Flux'!G80</f>
        <v/>
      </c>
      <c r="F80" s="6">
        <f>IFERROR(E80*2,"")</f>
        <v/>
      </c>
      <c r="G80" s="6">
        <f>'02_Exchange_Flux'!H80</f>
        <v/>
      </c>
      <c r="H80" s="6">
        <f>'02_Exchange_Flux'!K80</f>
        <v/>
      </c>
      <c r="I80" s="6">
        <f>IFERROR(MAX(0,F80-G80-H80),"")</f>
        <v/>
      </c>
      <c r="J80" s="6">
        <f>'02_Exchange_Flux'!I80</f>
        <v/>
      </c>
      <c r="K80" s="6">
        <f>'02_Exchange_Flux'!J80</f>
        <v/>
      </c>
      <c r="L80" s="6">
        <f>IFERROR(MAX(0,J80-K80),"")</f>
        <v/>
      </c>
      <c r="M80" s="6">
        <f>IFERROR(I80+L80,"")</f>
        <v/>
      </c>
      <c r="N80" s="6">
        <f>IFERROR(SUM('02_Exchange_Flux'!L80:Q80),"")</f>
        <v/>
      </c>
      <c r="O80" s="6">
        <f>IFERROR(ABS('02_Exchange_Flux'!M80)+ABS('02_Exchange_Flux'!S80),"")</f>
        <v/>
      </c>
      <c r="P80" s="6">
        <f>'02_Exchange_Flux'!R80</f>
        <v/>
      </c>
      <c r="Q80" s="6">
        <f>IFERROR(G80/F80,"")</f>
        <v/>
      </c>
      <c r="R80" s="2">
        <f>IF(A80="","",IF(Q80&gt;0.7,"High lactate overflow",IF(M80&gt;L80,"TCA-biased proxy","Balanced/Review")))</f>
        <v/>
      </c>
    </row>
    <row r="81">
      <c r="A81" s="2">
        <f>'02_Exchange_Flux'!A81</f>
        <v/>
      </c>
      <c r="B81" s="2">
        <f>'02_Exchange_Flux'!B81</f>
        <v/>
      </c>
      <c r="C81" s="2">
        <f>'02_Exchange_Flux'!C81</f>
        <v/>
      </c>
      <c r="D81" s="2">
        <f>'02_Exchange_Flux'!D81</f>
        <v/>
      </c>
      <c r="E81" s="6">
        <f>'02_Exchange_Flux'!G81</f>
        <v/>
      </c>
      <c r="F81" s="6">
        <f>IFERROR(E81*2,"")</f>
        <v/>
      </c>
      <c r="G81" s="6">
        <f>'02_Exchange_Flux'!H81</f>
        <v/>
      </c>
      <c r="H81" s="6">
        <f>'02_Exchange_Flux'!K81</f>
        <v/>
      </c>
      <c r="I81" s="6">
        <f>IFERROR(MAX(0,F81-G81-H81),"")</f>
        <v/>
      </c>
      <c r="J81" s="6">
        <f>'02_Exchange_Flux'!I81</f>
        <v/>
      </c>
      <c r="K81" s="6">
        <f>'02_Exchange_Flux'!J81</f>
        <v/>
      </c>
      <c r="L81" s="6">
        <f>IFERROR(MAX(0,J81-K81),"")</f>
        <v/>
      </c>
      <c r="M81" s="6">
        <f>IFERROR(I81+L81,"")</f>
        <v/>
      </c>
      <c r="N81" s="6">
        <f>IFERROR(SUM('02_Exchange_Flux'!L81:Q81),"")</f>
        <v/>
      </c>
      <c r="O81" s="6">
        <f>IFERROR(ABS('02_Exchange_Flux'!M81)+ABS('02_Exchange_Flux'!S81),"")</f>
        <v/>
      </c>
      <c r="P81" s="6">
        <f>'02_Exchange_Flux'!R81</f>
        <v/>
      </c>
      <c r="Q81" s="6">
        <f>IFERROR(G81/F81,"")</f>
        <v/>
      </c>
      <c r="R81" s="2">
        <f>IF(A81="","",IF(Q81&gt;0.7,"High lactate overflow",IF(M81&gt;L81,"TCA-biased proxy","Balanced/Review")))</f>
        <v/>
      </c>
    </row>
    <row r="82">
      <c r="A82" s="2">
        <f>'02_Exchange_Flux'!A82</f>
        <v/>
      </c>
      <c r="B82" s="2">
        <f>'02_Exchange_Flux'!B82</f>
        <v/>
      </c>
      <c r="C82" s="2">
        <f>'02_Exchange_Flux'!C82</f>
        <v/>
      </c>
      <c r="D82" s="2">
        <f>'02_Exchange_Flux'!D82</f>
        <v/>
      </c>
      <c r="E82" s="6">
        <f>'02_Exchange_Flux'!G82</f>
        <v/>
      </c>
      <c r="F82" s="6">
        <f>IFERROR(E82*2,"")</f>
        <v/>
      </c>
      <c r="G82" s="6">
        <f>'02_Exchange_Flux'!H82</f>
        <v/>
      </c>
      <c r="H82" s="6">
        <f>'02_Exchange_Flux'!K82</f>
        <v/>
      </c>
      <c r="I82" s="6">
        <f>IFERROR(MAX(0,F82-G82-H82),"")</f>
        <v/>
      </c>
      <c r="J82" s="6">
        <f>'02_Exchange_Flux'!I82</f>
        <v/>
      </c>
      <c r="K82" s="6">
        <f>'02_Exchange_Flux'!J82</f>
        <v/>
      </c>
      <c r="L82" s="6">
        <f>IFERROR(MAX(0,J82-K82),"")</f>
        <v/>
      </c>
      <c r="M82" s="6">
        <f>IFERROR(I82+L82,"")</f>
        <v/>
      </c>
      <c r="N82" s="6">
        <f>IFERROR(SUM('02_Exchange_Flux'!L82:Q82),"")</f>
        <v/>
      </c>
      <c r="O82" s="6">
        <f>IFERROR(ABS('02_Exchange_Flux'!M82)+ABS('02_Exchange_Flux'!S82),"")</f>
        <v/>
      </c>
      <c r="P82" s="6">
        <f>'02_Exchange_Flux'!R82</f>
        <v/>
      </c>
      <c r="Q82" s="6">
        <f>IFERROR(G82/F82,"")</f>
        <v/>
      </c>
      <c r="R82" s="2">
        <f>IF(A82="","",IF(Q82&gt;0.7,"High lactate overflow",IF(M82&gt;L82,"TCA-biased proxy","Balanced/Review")))</f>
        <v/>
      </c>
    </row>
    <row r="83">
      <c r="A83" s="2">
        <f>'02_Exchange_Flux'!A83</f>
        <v/>
      </c>
      <c r="B83" s="2">
        <f>'02_Exchange_Flux'!B83</f>
        <v/>
      </c>
      <c r="C83" s="2">
        <f>'02_Exchange_Flux'!C83</f>
        <v/>
      </c>
      <c r="D83" s="2">
        <f>'02_Exchange_Flux'!D83</f>
        <v/>
      </c>
      <c r="E83" s="6">
        <f>'02_Exchange_Flux'!G83</f>
        <v/>
      </c>
      <c r="F83" s="6">
        <f>IFERROR(E83*2,"")</f>
        <v/>
      </c>
      <c r="G83" s="6">
        <f>'02_Exchange_Flux'!H83</f>
        <v/>
      </c>
      <c r="H83" s="6">
        <f>'02_Exchange_Flux'!K83</f>
        <v/>
      </c>
      <c r="I83" s="6">
        <f>IFERROR(MAX(0,F83-G83-H83),"")</f>
        <v/>
      </c>
      <c r="J83" s="6">
        <f>'02_Exchange_Flux'!I83</f>
        <v/>
      </c>
      <c r="K83" s="6">
        <f>'02_Exchange_Flux'!J83</f>
        <v/>
      </c>
      <c r="L83" s="6">
        <f>IFERROR(MAX(0,J83-K83),"")</f>
        <v/>
      </c>
      <c r="M83" s="6">
        <f>IFERROR(I83+L83,"")</f>
        <v/>
      </c>
      <c r="N83" s="6">
        <f>IFERROR(SUM('02_Exchange_Flux'!L83:Q83),"")</f>
        <v/>
      </c>
      <c r="O83" s="6">
        <f>IFERROR(ABS('02_Exchange_Flux'!M83)+ABS('02_Exchange_Flux'!S83),"")</f>
        <v/>
      </c>
      <c r="P83" s="6">
        <f>'02_Exchange_Flux'!R83</f>
        <v/>
      </c>
      <c r="Q83" s="6">
        <f>IFERROR(G83/F83,"")</f>
        <v/>
      </c>
      <c r="R83" s="2">
        <f>IF(A83="","",IF(Q83&gt;0.7,"High lactate overflow",IF(M83&gt;L83,"TCA-biased proxy","Balanced/Review")))</f>
        <v/>
      </c>
    </row>
    <row r="84">
      <c r="A84" s="2">
        <f>'02_Exchange_Flux'!A84</f>
        <v/>
      </c>
      <c r="B84" s="2">
        <f>'02_Exchange_Flux'!B84</f>
        <v/>
      </c>
      <c r="C84" s="2">
        <f>'02_Exchange_Flux'!C84</f>
        <v/>
      </c>
      <c r="D84" s="2">
        <f>'02_Exchange_Flux'!D84</f>
        <v/>
      </c>
      <c r="E84" s="6">
        <f>'02_Exchange_Flux'!G84</f>
        <v/>
      </c>
      <c r="F84" s="6">
        <f>IFERROR(E84*2,"")</f>
        <v/>
      </c>
      <c r="G84" s="6">
        <f>'02_Exchange_Flux'!H84</f>
        <v/>
      </c>
      <c r="H84" s="6">
        <f>'02_Exchange_Flux'!K84</f>
        <v/>
      </c>
      <c r="I84" s="6">
        <f>IFERROR(MAX(0,F84-G84-H84),"")</f>
        <v/>
      </c>
      <c r="J84" s="6">
        <f>'02_Exchange_Flux'!I84</f>
        <v/>
      </c>
      <c r="K84" s="6">
        <f>'02_Exchange_Flux'!J84</f>
        <v/>
      </c>
      <c r="L84" s="6">
        <f>IFERROR(MAX(0,J84-K84),"")</f>
        <v/>
      </c>
      <c r="M84" s="6">
        <f>IFERROR(I84+L84,"")</f>
        <v/>
      </c>
      <c r="N84" s="6">
        <f>IFERROR(SUM('02_Exchange_Flux'!L84:Q84),"")</f>
        <v/>
      </c>
      <c r="O84" s="6">
        <f>IFERROR(ABS('02_Exchange_Flux'!M84)+ABS('02_Exchange_Flux'!S84),"")</f>
        <v/>
      </c>
      <c r="P84" s="6">
        <f>'02_Exchange_Flux'!R84</f>
        <v/>
      </c>
      <c r="Q84" s="6">
        <f>IFERROR(G84/F84,"")</f>
        <v/>
      </c>
      <c r="R84" s="2">
        <f>IF(A84="","",IF(Q84&gt;0.7,"High lactate overflow",IF(M84&gt;L84,"TCA-biased proxy","Balanced/Review")))</f>
        <v/>
      </c>
    </row>
    <row r="85">
      <c r="A85" s="2">
        <f>'02_Exchange_Flux'!A85</f>
        <v/>
      </c>
      <c r="B85" s="2">
        <f>'02_Exchange_Flux'!B85</f>
        <v/>
      </c>
      <c r="C85" s="2">
        <f>'02_Exchange_Flux'!C85</f>
        <v/>
      </c>
      <c r="D85" s="2">
        <f>'02_Exchange_Flux'!D85</f>
        <v/>
      </c>
      <c r="E85" s="6">
        <f>'02_Exchange_Flux'!G85</f>
        <v/>
      </c>
      <c r="F85" s="6">
        <f>IFERROR(E85*2,"")</f>
        <v/>
      </c>
      <c r="G85" s="6">
        <f>'02_Exchange_Flux'!H85</f>
        <v/>
      </c>
      <c r="H85" s="6">
        <f>'02_Exchange_Flux'!K85</f>
        <v/>
      </c>
      <c r="I85" s="6">
        <f>IFERROR(MAX(0,F85-G85-H85),"")</f>
        <v/>
      </c>
      <c r="J85" s="6">
        <f>'02_Exchange_Flux'!I85</f>
        <v/>
      </c>
      <c r="K85" s="6">
        <f>'02_Exchange_Flux'!J85</f>
        <v/>
      </c>
      <c r="L85" s="6">
        <f>IFERROR(MAX(0,J85-K85),"")</f>
        <v/>
      </c>
      <c r="M85" s="6">
        <f>IFERROR(I85+L85,"")</f>
        <v/>
      </c>
      <c r="N85" s="6">
        <f>IFERROR(SUM('02_Exchange_Flux'!L85:Q85),"")</f>
        <v/>
      </c>
      <c r="O85" s="6">
        <f>IFERROR(ABS('02_Exchange_Flux'!M85)+ABS('02_Exchange_Flux'!S85),"")</f>
        <v/>
      </c>
      <c r="P85" s="6">
        <f>'02_Exchange_Flux'!R85</f>
        <v/>
      </c>
      <c r="Q85" s="6">
        <f>IFERROR(G85/F85,"")</f>
        <v/>
      </c>
      <c r="R85" s="2">
        <f>IF(A85="","",IF(Q85&gt;0.7,"High lactate overflow",IF(M85&gt;L85,"TCA-biased proxy","Balanced/Review")))</f>
        <v/>
      </c>
    </row>
    <row r="86">
      <c r="A86" s="2">
        <f>'02_Exchange_Flux'!A86</f>
        <v/>
      </c>
      <c r="B86" s="2">
        <f>'02_Exchange_Flux'!B86</f>
        <v/>
      </c>
      <c r="C86" s="2">
        <f>'02_Exchange_Flux'!C86</f>
        <v/>
      </c>
      <c r="D86" s="2">
        <f>'02_Exchange_Flux'!D86</f>
        <v/>
      </c>
      <c r="E86" s="6">
        <f>'02_Exchange_Flux'!G86</f>
        <v/>
      </c>
      <c r="F86" s="6">
        <f>IFERROR(E86*2,"")</f>
        <v/>
      </c>
      <c r="G86" s="6">
        <f>'02_Exchange_Flux'!H86</f>
        <v/>
      </c>
      <c r="H86" s="6">
        <f>'02_Exchange_Flux'!K86</f>
        <v/>
      </c>
      <c r="I86" s="6">
        <f>IFERROR(MAX(0,F86-G86-H86),"")</f>
        <v/>
      </c>
      <c r="J86" s="6">
        <f>'02_Exchange_Flux'!I86</f>
        <v/>
      </c>
      <c r="K86" s="6">
        <f>'02_Exchange_Flux'!J86</f>
        <v/>
      </c>
      <c r="L86" s="6">
        <f>IFERROR(MAX(0,J86-K86),"")</f>
        <v/>
      </c>
      <c r="M86" s="6">
        <f>IFERROR(I86+L86,"")</f>
        <v/>
      </c>
      <c r="N86" s="6">
        <f>IFERROR(SUM('02_Exchange_Flux'!L86:Q86),"")</f>
        <v/>
      </c>
      <c r="O86" s="6">
        <f>IFERROR(ABS('02_Exchange_Flux'!M86)+ABS('02_Exchange_Flux'!S86),"")</f>
        <v/>
      </c>
      <c r="P86" s="6">
        <f>'02_Exchange_Flux'!R86</f>
        <v/>
      </c>
      <c r="Q86" s="6">
        <f>IFERROR(G86/F86,"")</f>
        <v/>
      </c>
      <c r="R86" s="2">
        <f>IF(A86="","",IF(Q86&gt;0.7,"High lactate overflow",IF(M86&gt;L86,"TCA-biased proxy","Balanced/Review")))</f>
        <v/>
      </c>
    </row>
    <row r="87">
      <c r="A87" s="2">
        <f>'02_Exchange_Flux'!A87</f>
        <v/>
      </c>
      <c r="B87" s="2">
        <f>'02_Exchange_Flux'!B87</f>
        <v/>
      </c>
      <c r="C87" s="2">
        <f>'02_Exchange_Flux'!C87</f>
        <v/>
      </c>
      <c r="D87" s="2">
        <f>'02_Exchange_Flux'!D87</f>
        <v/>
      </c>
      <c r="E87" s="6">
        <f>'02_Exchange_Flux'!G87</f>
        <v/>
      </c>
      <c r="F87" s="6">
        <f>IFERROR(E87*2,"")</f>
        <v/>
      </c>
      <c r="G87" s="6">
        <f>'02_Exchange_Flux'!H87</f>
        <v/>
      </c>
      <c r="H87" s="6">
        <f>'02_Exchange_Flux'!K87</f>
        <v/>
      </c>
      <c r="I87" s="6">
        <f>IFERROR(MAX(0,F87-G87-H87),"")</f>
        <v/>
      </c>
      <c r="J87" s="6">
        <f>'02_Exchange_Flux'!I87</f>
        <v/>
      </c>
      <c r="K87" s="6">
        <f>'02_Exchange_Flux'!J87</f>
        <v/>
      </c>
      <c r="L87" s="6">
        <f>IFERROR(MAX(0,J87-K87),"")</f>
        <v/>
      </c>
      <c r="M87" s="6">
        <f>IFERROR(I87+L87,"")</f>
        <v/>
      </c>
      <c r="N87" s="6">
        <f>IFERROR(SUM('02_Exchange_Flux'!L87:Q87),"")</f>
        <v/>
      </c>
      <c r="O87" s="6">
        <f>IFERROR(ABS('02_Exchange_Flux'!M87)+ABS('02_Exchange_Flux'!S87),"")</f>
        <v/>
      </c>
      <c r="P87" s="6">
        <f>'02_Exchange_Flux'!R87</f>
        <v/>
      </c>
      <c r="Q87" s="6">
        <f>IFERROR(G87/F87,"")</f>
        <v/>
      </c>
      <c r="R87" s="2">
        <f>IF(A87="","",IF(Q87&gt;0.7,"High lactate overflow",IF(M87&gt;L87,"TCA-biased proxy","Balanced/Review")))</f>
        <v/>
      </c>
    </row>
    <row r="88">
      <c r="A88" s="2">
        <f>'02_Exchange_Flux'!A88</f>
        <v/>
      </c>
      <c r="B88" s="2">
        <f>'02_Exchange_Flux'!B88</f>
        <v/>
      </c>
      <c r="C88" s="2">
        <f>'02_Exchange_Flux'!C88</f>
        <v/>
      </c>
      <c r="D88" s="2">
        <f>'02_Exchange_Flux'!D88</f>
        <v/>
      </c>
      <c r="E88" s="6">
        <f>'02_Exchange_Flux'!G88</f>
        <v/>
      </c>
      <c r="F88" s="6">
        <f>IFERROR(E88*2,"")</f>
        <v/>
      </c>
      <c r="G88" s="6">
        <f>'02_Exchange_Flux'!H88</f>
        <v/>
      </c>
      <c r="H88" s="6">
        <f>'02_Exchange_Flux'!K88</f>
        <v/>
      </c>
      <c r="I88" s="6">
        <f>IFERROR(MAX(0,F88-G88-H88),"")</f>
        <v/>
      </c>
      <c r="J88" s="6">
        <f>'02_Exchange_Flux'!I88</f>
        <v/>
      </c>
      <c r="K88" s="6">
        <f>'02_Exchange_Flux'!J88</f>
        <v/>
      </c>
      <c r="L88" s="6">
        <f>IFERROR(MAX(0,J88-K88),"")</f>
        <v/>
      </c>
      <c r="M88" s="6">
        <f>IFERROR(I88+L88,"")</f>
        <v/>
      </c>
      <c r="N88" s="6">
        <f>IFERROR(SUM('02_Exchange_Flux'!L88:Q88),"")</f>
        <v/>
      </c>
      <c r="O88" s="6">
        <f>IFERROR(ABS('02_Exchange_Flux'!M88)+ABS('02_Exchange_Flux'!S88),"")</f>
        <v/>
      </c>
      <c r="P88" s="6">
        <f>'02_Exchange_Flux'!R88</f>
        <v/>
      </c>
      <c r="Q88" s="6">
        <f>IFERROR(G88/F88,"")</f>
        <v/>
      </c>
      <c r="R88" s="2">
        <f>IF(A88="","",IF(Q88&gt;0.7,"High lactate overflow",IF(M88&gt;L88,"TCA-biased proxy","Balanced/Review")))</f>
        <v/>
      </c>
    </row>
    <row r="89">
      <c r="A89" s="2">
        <f>'02_Exchange_Flux'!A89</f>
        <v/>
      </c>
      <c r="B89" s="2">
        <f>'02_Exchange_Flux'!B89</f>
        <v/>
      </c>
      <c r="C89" s="2">
        <f>'02_Exchange_Flux'!C89</f>
        <v/>
      </c>
      <c r="D89" s="2">
        <f>'02_Exchange_Flux'!D89</f>
        <v/>
      </c>
      <c r="E89" s="6">
        <f>'02_Exchange_Flux'!G89</f>
        <v/>
      </c>
      <c r="F89" s="6">
        <f>IFERROR(E89*2,"")</f>
        <v/>
      </c>
      <c r="G89" s="6">
        <f>'02_Exchange_Flux'!H89</f>
        <v/>
      </c>
      <c r="H89" s="6">
        <f>'02_Exchange_Flux'!K89</f>
        <v/>
      </c>
      <c r="I89" s="6">
        <f>IFERROR(MAX(0,F89-G89-H89),"")</f>
        <v/>
      </c>
      <c r="J89" s="6">
        <f>'02_Exchange_Flux'!I89</f>
        <v/>
      </c>
      <c r="K89" s="6">
        <f>'02_Exchange_Flux'!J89</f>
        <v/>
      </c>
      <c r="L89" s="6">
        <f>IFERROR(MAX(0,J89-K89),"")</f>
        <v/>
      </c>
      <c r="M89" s="6">
        <f>IFERROR(I89+L89,"")</f>
        <v/>
      </c>
      <c r="N89" s="6">
        <f>IFERROR(SUM('02_Exchange_Flux'!L89:Q89),"")</f>
        <v/>
      </c>
      <c r="O89" s="6">
        <f>IFERROR(ABS('02_Exchange_Flux'!M89)+ABS('02_Exchange_Flux'!S89),"")</f>
        <v/>
      </c>
      <c r="P89" s="6">
        <f>'02_Exchange_Flux'!R89</f>
        <v/>
      </c>
      <c r="Q89" s="6">
        <f>IFERROR(G89/F89,"")</f>
        <v/>
      </c>
      <c r="R89" s="2">
        <f>IF(A89="","",IF(Q89&gt;0.7,"High lactate overflow",IF(M89&gt;L89,"TCA-biased proxy","Balanced/Review")))</f>
        <v/>
      </c>
    </row>
    <row r="90">
      <c r="A90" s="2">
        <f>'02_Exchange_Flux'!A90</f>
        <v/>
      </c>
      <c r="B90" s="2">
        <f>'02_Exchange_Flux'!B90</f>
        <v/>
      </c>
      <c r="C90" s="2">
        <f>'02_Exchange_Flux'!C90</f>
        <v/>
      </c>
      <c r="D90" s="2">
        <f>'02_Exchange_Flux'!D90</f>
        <v/>
      </c>
      <c r="E90" s="6">
        <f>'02_Exchange_Flux'!G90</f>
        <v/>
      </c>
      <c r="F90" s="6">
        <f>IFERROR(E90*2,"")</f>
        <v/>
      </c>
      <c r="G90" s="6">
        <f>'02_Exchange_Flux'!H90</f>
        <v/>
      </c>
      <c r="H90" s="6">
        <f>'02_Exchange_Flux'!K90</f>
        <v/>
      </c>
      <c r="I90" s="6">
        <f>IFERROR(MAX(0,F90-G90-H90),"")</f>
        <v/>
      </c>
      <c r="J90" s="6">
        <f>'02_Exchange_Flux'!I90</f>
        <v/>
      </c>
      <c r="K90" s="6">
        <f>'02_Exchange_Flux'!J90</f>
        <v/>
      </c>
      <c r="L90" s="6">
        <f>IFERROR(MAX(0,J90-K90),"")</f>
        <v/>
      </c>
      <c r="M90" s="6">
        <f>IFERROR(I90+L90,"")</f>
        <v/>
      </c>
      <c r="N90" s="6">
        <f>IFERROR(SUM('02_Exchange_Flux'!L90:Q90),"")</f>
        <v/>
      </c>
      <c r="O90" s="6">
        <f>IFERROR(ABS('02_Exchange_Flux'!M90)+ABS('02_Exchange_Flux'!S90),"")</f>
        <v/>
      </c>
      <c r="P90" s="6">
        <f>'02_Exchange_Flux'!R90</f>
        <v/>
      </c>
      <c r="Q90" s="6">
        <f>IFERROR(G90/F90,"")</f>
        <v/>
      </c>
      <c r="R90" s="2">
        <f>IF(A90="","",IF(Q90&gt;0.7,"High lactate overflow",IF(M90&gt;L90,"TCA-biased proxy","Balanced/Review")))</f>
        <v/>
      </c>
    </row>
    <row r="91">
      <c r="A91" s="2">
        <f>'02_Exchange_Flux'!A91</f>
        <v/>
      </c>
      <c r="B91" s="2">
        <f>'02_Exchange_Flux'!B91</f>
        <v/>
      </c>
      <c r="C91" s="2">
        <f>'02_Exchange_Flux'!C91</f>
        <v/>
      </c>
      <c r="D91" s="2">
        <f>'02_Exchange_Flux'!D91</f>
        <v/>
      </c>
      <c r="E91" s="6">
        <f>'02_Exchange_Flux'!G91</f>
        <v/>
      </c>
      <c r="F91" s="6">
        <f>IFERROR(E91*2,"")</f>
        <v/>
      </c>
      <c r="G91" s="6">
        <f>'02_Exchange_Flux'!H91</f>
        <v/>
      </c>
      <c r="H91" s="6">
        <f>'02_Exchange_Flux'!K91</f>
        <v/>
      </c>
      <c r="I91" s="6">
        <f>IFERROR(MAX(0,F91-G91-H91),"")</f>
        <v/>
      </c>
      <c r="J91" s="6">
        <f>'02_Exchange_Flux'!I91</f>
        <v/>
      </c>
      <c r="K91" s="6">
        <f>'02_Exchange_Flux'!J91</f>
        <v/>
      </c>
      <c r="L91" s="6">
        <f>IFERROR(MAX(0,J91-K91),"")</f>
        <v/>
      </c>
      <c r="M91" s="6">
        <f>IFERROR(I91+L91,"")</f>
        <v/>
      </c>
      <c r="N91" s="6">
        <f>IFERROR(SUM('02_Exchange_Flux'!L91:Q91),"")</f>
        <v/>
      </c>
      <c r="O91" s="6">
        <f>IFERROR(ABS('02_Exchange_Flux'!M91)+ABS('02_Exchange_Flux'!S91),"")</f>
        <v/>
      </c>
      <c r="P91" s="6">
        <f>'02_Exchange_Flux'!R91</f>
        <v/>
      </c>
      <c r="Q91" s="6">
        <f>IFERROR(G91/F91,"")</f>
        <v/>
      </c>
      <c r="R91" s="2">
        <f>IF(A91="","",IF(Q91&gt;0.7,"High lactate overflow",IF(M91&gt;L91,"TCA-biased proxy","Balanced/Review")))</f>
        <v/>
      </c>
    </row>
    <row r="92">
      <c r="A92" s="2">
        <f>'02_Exchange_Flux'!A92</f>
        <v/>
      </c>
      <c r="B92" s="2">
        <f>'02_Exchange_Flux'!B92</f>
        <v/>
      </c>
      <c r="C92" s="2">
        <f>'02_Exchange_Flux'!C92</f>
        <v/>
      </c>
      <c r="D92" s="2">
        <f>'02_Exchange_Flux'!D92</f>
        <v/>
      </c>
      <c r="E92" s="6">
        <f>'02_Exchange_Flux'!G92</f>
        <v/>
      </c>
      <c r="F92" s="6">
        <f>IFERROR(E92*2,"")</f>
        <v/>
      </c>
      <c r="G92" s="6">
        <f>'02_Exchange_Flux'!H92</f>
        <v/>
      </c>
      <c r="H92" s="6">
        <f>'02_Exchange_Flux'!K92</f>
        <v/>
      </c>
      <c r="I92" s="6">
        <f>IFERROR(MAX(0,F92-G92-H92),"")</f>
        <v/>
      </c>
      <c r="J92" s="6">
        <f>'02_Exchange_Flux'!I92</f>
        <v/>
      </c>
      <c r="K92" s="6">
        <f>'02_Exchange_Flux'!J92</f>
        <v/>
      </c>
      <c r="L92" s="6">
        <f>IFERROR(MAX(0,J92-K92),"")</f>
        <v/>
      </c>
      <c r="M92" s="6">
        <f>IFERROR(I92+L92,"")</f>
        <v/>
      </c>
      <c r="N92" s="6">
        <f>IFERROR(SUM('02_Exchange_Flux'!L92:Q92),"")</f>
        <v/>
      </c>
      <c r="O92" s="6">
        <f>IFERROR(ABS('02_Exchange_Flux'!M92)+ABS('02_Exchange_Flux'!S92),"")</f>
        <v/>
      </c>
      <c r="P92" s="6">
        <f>'02_Exchange_Flux'!R92</f>
        <v/>
      </c>
      <c r="Q92" s="6">
        <f>IFERROR(G92/F92,"")</f>
        <v/>
      </c>
      <c r="R92" s="2">
        <f>IF(A92="","",IF(Q92&gt;0.7,"High lactate overflow",IF(M92&gt;L92,"TCA-biased proxy","Balanced/Review")))</f>
        <v/>
      </c>
    </row>
    <row r="93">
      <c r="A93" s="2">
        <f>'02_Exchange_Flux'!A93</f>
        <v/>
      </c>
      <c r="B93" s="2">
        <f>'02_Exchange_Flux'!B93</f>
        <v/>
      </c>
      <c r="C93" s="2">
        <f>'02_Exchange_Flux'!C93</f>
        <v/>
      </c>
      <c r="D93" s="2">
        <f>'02_Exchange_Flux'!D93</f>
        <v/>
      </c>
      <c r="E93" s="6">
        <f>'02_Exchange_Flux'!G93</f>
        <v/>
      </c>
      <c r="F93" s="6">
        <f>IFERROR(E93*2,"")</f>
        <v/>
      </c>
      <c r="G93" s="6">
        <f>'02_Exchange_Flux'!H93</f>
        <v/>
      </c>
      <c r="H93" s="6">
        <f>'02_Exchange_Flux'!K93</f>
        <v/>
      </c>
      <c r="I93" s="6">
        <f>IFERROR(MAX(0,F93-G93-H93),"")</f>
        <v/>
      </c>
      <c r="J93" s="6">
        <f>'02_Exchange_Flux'!I93</f>
        <v/>
      </c>
      <c r="K93" s="6">
        <f>'02_Exchange_Flux'!J93</f>
        <v/>
      </c>
      <c r="L93" s="6">
        <f>IFERROR(MAX(0,J93-K93),"")</f>
        <v/>
      </c>
      <c r="M93" s="6">
        <f>IFERROR(I93+L93,"")</f>
        <v/>
      </c>
      <c r="N93" s="6">
        <f>IFERROR(SUM('02_Exchange_Flux'!L93:Q93),"")</f>
        <v/>
      </c>
      <c r="O93" s="6">
        <f>IFERROR(ABS('02_Exchange_Flux'!M93)+ABS('02_Exchange_Flux'!S93),"")</f>
        <v/>
      </c>
      <c r="P93" s="6">
        <f>'02_Exchange_Flux'!R93</f>
        <v/>
      </c>
      <c r="Q93" s="6">
        <f>IFERROR(G93/F93,"")</f>
        <v/>
      </c>
      <c r="R93" s="2">
        <f>IF(A93="","",IF(Q93&gt;0.7,"High lactate overflow",IF(M93&gt;L93,"TCA-biased proxy","Balanced/Review")))</f>
        <v/>
      </c>
    </row>
    <row r="94">
      <c r="A94" s="2">
        <f>'02_Exchange_Flux'!A94</f>
        <v/>
      </c>
      <c r="B94" s="2">
        <f>'02_Exchange_Flux'!B94</f>
        <v/>
      </c>
      <c r="C94" s="2">
        <f>'02_Exchange_Flux'!C94</f>
        <v/>
      </c>
      <c r="D94" s="2">
        <f>'02_Exchange_Flux'!D94</f>
        <v/>
      </c>
      <c r="E94" s="6">
        <f>'02_Exchange_Flux'!G94</f>
        <v/>
      </c>
      <c r="F94" s="6">
        <f>IFERROR(E94*2,"")</f>
        <v/>
      </c>
      <c r="G94" s="6">
        <f>'02_Exchange_Flux'!H94</f>
        <v/>
      </c>
      <c r="H94" s="6">
        <f>'02_Exchange_Flux'!K94</f>
        <v/>
      </c>
      <c r="I94" s="6">
        <f>IFERROR(MAX(0,F94-G94-H94),"")</f>
        <v/>
      </c>
      <c r="J94" s="6">
        <f>'02_Exchange_Flux'!I94</f>
        <v/>
      </c>
      <c r="K94" s="6">
        <f>'02_Exchange_Flux'!J94</f>
        <v/>
      </c>
      <c r="L94" s="6">
        <f>IFERROR(MAX(0,J94-K94),"")</f>
        <v/>
      </c>
      <c r="M94" s="6">
        <f>IFERROR(I94+L94,"")</f>
        <v/>
      </c>
      <c r="N94" s="6">
        <f>IFERROR(SUM('02_Exchange_Flux'!L94:Q94),"")</f>
        <v/>
      </c>
      <c r="O94" s="6">
        <f>IFERROR(ABS('02_Exchange_Flux'!M94)+ABS('02_Exchange_Flux'!S94),"")</f>
        <v/>
      </c>
      <c r="P94" s="6">
        <f>'02_Exchange_Flux'!R94</f>
        <v/>
      </c>
      <c r="Q94" s="6">
        <f>IFERROR(G94/F94,"")</f>
        <v/>
      </c>
      <c r="R94" s="2">
        <f>IF(A94="","",IF(Q94&gt;0.7,"High lactate overflow",IF(M94&gt;L94,"TCA-biased proxy","Balanced/Review")))</f>
        <v/>
      </c>
    </row>
    <row r="95">
      <c r="A95" s="2">
        <f>'02_Exchange_Flux'!A95</f>
        <v/>
      </c>
      <c r="B95" s="2">
        <f>'02_Exchange_Flux'!B95</f>
        <v/>
      </c>
      <c r="C95" s="2">
        <f>'02_Exchange_Flux'!C95</f>
        <v/>
      </c>
      <c r="D95" s="2">
        <f>'02_Exchange_Flux'!D95</f>
        <v/>
      </c>
      <c r="E95" s="6">
        <f>'02_Exchange_Flux'!G95</f>
        <v/>
      </c>
      <c r="F95" s="6">
        <f>IFERROR(E95*2,"")</f>
        <v/>
      </c>
      <c r="G95" s="6">
        <f>'02_Exchange_Flux'!H95</f>
        <v/>
      </c>
      <c r="H95" s="6">
        <f>'02_Exchange_Flux'!K95</f>
        <v/>
      </c>
      <c r="I95" s="6">
        <f>IFERROR(MAX(0,F95-G95-H95),"")</f>
        <v/>
      </c>
      <c r="J95" s="6">
        <f>'02_Exchange_Flux'!I95</f>
        <v/>
      </c>
      <c r="K95" s="6">
        <f>'02_Exchange_Flux'!J95</f>
        <v/>
      </c>
      <c r="L95" s="6">
        <f>IFERROR(MAX(0,J95-K95),"")</f>
        <v/>
      </c>
      <c r="M95" s="6">
        <f>IFERROR(I95+L95,"")</f>
        <v/>
      </c>
      <c r="N95" s="6">
        <f>IFERROR(SUM('02_Exchange_Flux'!L95:Q95),"")</f>
        <v/>
      </c>
      <c r="O95" s="6">
        <f>IFERROR(ABS('02_Exchange_Flux'!M95)+ABS('02_Exchange_Flux'!S95),"")</f>
        <v/>
      </c>
      <c r="P95" s="6">
        <f>'02_Exchange_Flux'!R95</f>
        <v/>
      </c>
      <c r="Q95" s="6">
        <f>IFERROR(G95/F95,"")</f>
        <v/>
      </c>
      <c r="R95" s="2">
        <f>IF(A95="","",IF(Q95&gt;0.7,"High lactate overflow",IF(M95&gt;L95,"TCA-biased proxy","Balanced/Review")))</f>
        <v/>
      </c>
    </row>
    <row r="96">
      <c r="A96" s="2">
        <f>'02_Exchange_Flux'!A96</f>
        <v/>
      </c>
      <c r="B96" s="2">
        <f>'02_Exchange_Flux'!B96</f>
        <v/>
      </c>
      <c r="C96" s="2">
        <f>'02_Exchange_Flux'!C96</f>
        <v/>
      </c>
      <c r="D96" s="2">
        <f>'02_Exchange_Flux'!D96</f>
        <v/>
      </c>
      <c r="E96" s="6">
        <f>'02_Exchange_Flux'!G96</f>
        <v/>
      </c>
      <c r="F96" s="6">
        <f>IFERROR(E96*2,"")</f>
        <v/>
      </c>
      <c r="G96" s="6">
        <f>'02_Exchange_Flux'!H96</f>
        <v/>
      </c>
      <c r="H96" s="6">
        <f>'02_Exchange_Flux'!K96</f>
        <v/>
      </c>
      <c r="I96" s="6">
        <f>IFERROR(MAX(0,F96-G96-H96),"")</f>
        <v/>
      </c>
      <c r="J96" s="6">
        <f>'02_Exchange_Flux'!I96</f>
        <v/>
      </c>
      <c r="K96" s="6">
        <f>'02_Exchange_Flux'!J96</f>
        <v/>
      </c>
      <c r="L96" s="6">
        <f>IFERROR(MAX(0,J96-K96),"")</f>
        <v/>
      </c>
      <c r="M96" s="6">
        <f>IFERROR(I96+L96,"")</f>
        <v/>
      </c>
      <c r="N96" s="6">
        <f>IFERROR(SUM('02_Exchange_Flux'!L96:Q96),"")</f>
        <v/>
      </c>
      <c r="O96" s="6">
        <f>IFERROR(ABS('02_Exchange_Flux'!M96)+ABS('02_Exchange_Flux'!S96),"")</f>
        <v/>
      </c>
      <c r="P96" s="6">
        <f>'02_Exchange_Flux'!R96</f>
        <v/>
      </c>
      <c r="Q96" s="6">
        <f>IFERROR(G96/F96,"")</f>
        <v/>
      </c>
      <c r="R96" s="2">
        <f>IF(A96="","",IF(Q96&gt;0.7,"High lactate overflow",IF(M96&gt;L96,"TCA-biased proxy","Balanced/Review")))</f>
        <v/>
      </c>
    </row>
    <row r="97">
      <c r="A97" s="2">
        <f>'02_Exchange_Flux'!A97</f>
        <v/>
      </c>
      <c r="B97" s="2">
        <f>'02_Exchange_Flux'!B97</f>
        <v/>
      </c>
      <c r="C97" s="2">
        <f>'02_Exchange_Flux'!C97</f>
        <v/>
      </c>
      <c r="D97" s="2">
        <f>'02_Exchange_Flux'!D97</f>
        <v/>
      </c>
      <c r="E97" s="6">
        <f>'02_Exchange_Flux'!G97</f>
        <v/>
      </c>
      <c r="F97" s="6">
        <f>IFERROR(E97*2,"")</f>
        <v/>
      </c>
      <c r="G97" s="6">
        <f>'02_Exchange_Flux'!H97</f>
        <v/>
      </c>
      <c r="H97" s="6">
        <f>'02_Exchange_Flux'!K97</f>
        <v/>
      </c>
      <c r="I97" s="6">
        <f>IFERROR(MAX(0,F97-G97-H97),"")</f>
        <v/>
      </c>
      <c r="J97" s="6">
        <f>'02_Exchange_Flux'!I97</f>
        <v/>
      </c>
      <c r="K97" s="6">
        <f>'02_Exchange_Flux'!J97</f>
        <v/>
      </c>
      <c r="L97" s="6">
        <f>IFERROR(MAX(0,J97-K97),"")</f>
        <v/>
      </c>
      <c r="M97" s="6">
        <f>IFERROR(I97+L97,"")</f>
        <v/>
      </c>
      <c r="N97" s="6">
        <f>IFERROR(SUM('02_Exchange_Flux'!L97:Q97),"")</f>
        <v/>
      </c>
      <c r="O97" s="6">
        <f>IFERROR(ABS('02_Exchange_Flux'!M97)+ABS('02_Exchange_Flux'!S97),"")</f>
        <v/>
      </c>
      <c r="P97" s="6">
        <f>'02_Exchange_Flux'!R97</f>
        <v/>
      </c>
      <c r="Q97" s="6">
        <f>IFERROR(G97/F97,"")</f>
        <v/>
      </c>
      <c r="R97" s="2">
        <f>IF(A97="","",IF(Q97&gt;0.7,"High lactate overflow",IF(M97&gt;L97,"TCA-biased proxy","Balanced/Review")))</f>
        <v/>
      </c>
    </row>
    <row r="98">
      <c r="A98" s="2">
        <f>'02_Exchange_Flux'!A98</f>
        <v/>
      </c>
      <c r="B98" s="2">
        <f>'02_Exchange_Flux'!B98</f>
        <v/>
      </c>
      <c r="C98" s="2">
        <f>'02_Exchange_Flux'!C98</f>
        <v/>
      </c>
      <c r="D98" s="2">
        <f>'02_Exchange_Flux'!D98</f>
        <v/>
      </c>
      <c r="E98" s="6">
        <f>'02_Exchange_Flux'!G98</f>
        <v/>
      </c>
      <c r="F98" s="6">
        <f>IFERROR(E98*2,"")</f>
        <v/>
      </c>
      <c r="G98" s="6">
        <f>'02_Exchange_Flux'!H98</f>
        <v/>
      </c>
      <c r="H98" s="6">
        <f>'02_Exchange_Flux'!K98</f>
        <v/>
      </c>
      <c r="I98" s="6">
        <f>IFERROR(MAX(0,F98-G98-H98),"")</f>
        <v/>
      </c>
      <c r="J98" s="6">
        <f>'02_Exchange_Flux'!I98</f>
        <v/>
      </c>
      <c r="K98" s="6">
        <f>'02_Exchange_Flux'!J98</f>
        <v/>
      </c>
      <c r="L98" s="6">
        <f>IFERROR(MAX(0,J98-K98),"")</f>
        <v/>
      </c>
      <c r="M98" s="6">
        <f>IFERROR(I98+L98,"")</f>
        <v/>
      </c>
      <c r="N98" s="6">
        <f>IFERROR(SUM('02_Exchange_Flux'!L98:Q98),"")</f>
        <v/>
      </c>
      <c r="O98" s="6">
        <f>IFERROR(ABS('02_Exchange_Flux'!M98)+ABS('02_Exchange_Flux'!S98),"")</f>
        <v/>
      </c>
      <c r="P98" s="6">
        <f>'02_Exchange_Flux'!R98</f>
        <v/>
      </c>
      <c r="Q98" s="6">
        <f>IFERROR(G98/F98,"")</f>
        <v/>
      </c>
      <c r="R98" s="2">
        <f>IF(A98="","",IF(Q98&gt;0.7,"High lactate overflow",IF(M98&gt;L98,"TCA-biased proxy","Balanced/Review")))</f>
        <v/>
      </c>
    </row>
    <row r="99">
      <c r="A99" s="2">
        <f>'02_Exchange_Flux'!A99</f>
        <v/>
      </c>
      <c r="B99" s="2">
        <f>'02_Exchange_Flux'!B99</f>
        <v/>
      </c>
      <c r="C99" s="2">
        <f>'02_Exchange_Flux'!C99</f>
        <v/>
      </c>
      <c r="D99" s="2">
        <f>'02_Exchange_Flux'!D99</f>
        <v/>
      </c>
      <c r="E99" s="6">
        <f>'02_Exchange_Flux'!G99</f>
        <v/>
      </c>
      <c r="F99" s="6">
        <f>IFERROR(E99*2,"")</f>
        <v/>
      </c>
      <c r="G99" s="6">
        <f>'02_Exchange_Flux'!H99</f>
        <v/>
      </c>
      <c r="H99" s="6">
        <f>'02_Exchange_Flux'!K99</f>
        <v/>
      </c>
      <c r="I99" s="6">
        <f>IFERROR(MAX(0,F99-G99-H99),"")</f>
        <v/>
      </c>
      <c r="J99" s="6">
        <f>'02_Exchange_Flux'!I99</f>
        <v/>
      </c>
      <c r="K99" s="6">
        <f>'02_Exchange_Flux'!J99</f>
        <v/>
      </c>
      <c r="L99" s="6">
        <f>IFERROR(MAX(0,J99-K99),"")</f>
        <v/>
      </c>
      <c r="M99" s="6">
        <f>IFERROR(I99+L99,"")</f>
        <v/>
      </c>
      <c r="N99" s="6">
        <f>IFERROR(SUM('02_Exchange_Flux'!L99:Q99),"")</f>
        <v/>
      </c>
      <c r="O99" s="6">
        <f>IFERROR(ABS('02_Exchange_Flux'!M99)+ABS('02_Exchange_Flux'!S99),"")</f>
        <v/>
      </c>
      <c r="P99" s="6">
        <f>'02_Exchange_Flux'!R99</f>
        <v/>
      </c>
      <c r="Q99" s="6">
        <f>IFERROR(G99/F99,"")</f>
        <v/>
      </c>
      <c r="R99" s="2">
        <f>IF(A99="","",IF(Q99&gt;0.7,"High lactate overflow",IF(M99&gt;L99,"TCA-biased proxy","Balanced/Review")))</f>
        <v/>
      </c>
    </row>
    <row r="100">
      <c r="A100" s="2">
        <f>'02_Exchange_Flux'!A100</f>
        <v/>
      </c>
      <c r="B100" s="2">
        <f>'02_Exchange_Flux'!B100</f>
        <v/>
      </c>
      <c r="C100" s="2">
        <f>'02_Exchange_Flux'!C100</f>
        <v/>
      </c>
      <c r="D100" s="2">
        <f>'02_Exchange_Flux'!D100</f>
        <v/>
      </c>
      <c r="E100" s="6">
        <f>'02_Exchange_Flux'!G100</f>
        <v/>
      </c>
      <c r="F100" s="6">
        <f>IFERROR(E100*2,"")</f>
        <v/>
      </c>
      <c r="G100" s="6">
        <f>'02_Exchange_Flux'!H100</f>
        <v/>
      </c>
      <c r="H100" s="6">
        <f>'02_Exchange_Flux'!K100</f>
        <v/>
      </c>
      <c r="I100" s="6">
        <f>IFERROR(MAX(0,F100-G100-H100),"")</f>
        <v/>
      </c>
      <c r="J100" s="6">
        <f>'02_Exchange_Flux'!I100</f>
        <v/>
      </c>
      <c r="K100" s="6">
        <f>'02_Exchange_Flux'!J100</f>
        <v/>
      </c>
      <c r="L100" s="6">
        <f>IFERROR(MAX(0,J100-K100),"")</f>
        <v/>
      </c>
      <c r="M100" s="6">
        <f>IFERROR(I100+L100,"")</f>
        <v/>
      </c>
      <c r="N100" s="6">
        <f>IFERROR(SUM('02_Exchange_Flux'!L100:Q100),"")</f>
        <v/>
      </c>
      <c r="O100" s="6">
        <f>IFERROR(ABS('02_Exchange_Flux'!M100)+ABS('02_Exchange_Flux'!S100),"")</f>
        <v/>
      </c>
      <c r="P100" s="6">
        <f>'02_Exchange_Flux'!R100</f>
        <v/>
      </c>
      <c r="Q100" s="6">
        <f>IFERROR(G100/F100,"")</f>
        <v/>
      </c>
      <c r="R100" s="2">
        <f>IF(A100="","",IF(Q100&gt;0.7,"High lactate overflow",IF(M100&gt;L100,"TCA-biased proxy","Balanced/Review")))</f>
        <v/>
      </c>
    </row>
    <row r="101">
      <c r="A101" s="2">
        <f>'02_Exchange_Flux'!A101</f>
        <v/>
      </c>
      <c r="B101" s="2">
        <f>'02_Exchange_Flux'!B101</f>
        <v/>
      </c>
      <c r="C101" s="2">
        <f>'02_Exchange_Flux'!C101</f>
        <v/>
      </c>
      <c r="D101" s="2">
        <f>'02_Exchange_Flux'!D101</f>
        <v/>
      </c>
      <c r="E101" s="6">
        <f>'02_Exchange_Flux'!G101</f>
        <v/>
      </c>
      <c r="F101" s="6">
        <f>IFERROR(E101*2,"")</f>
        <v/>
      </c>
      <c r="G101" s="6">
        <f>'02_Exchange_Flux'!H101</f>
        <v/>
      </c>
      <c r="H101" s="6">
        <f>'02_Exchange_Flux'!K101</f>
        <v/>
      </c>
      <c r="I101" s="6">
        <f>IFERROR(MAX(0,F101-G101-H101),"")</f>
        <v/>
      </c>
      <c r="J101" s="6">
        <f>'02_Exchange_Flux'!I101</f>
        <v/>
      </c>
      <c r="K101" s="6">
        <f>'02_Exchange_Flux'!J101</f>
        <v/>
      </c>
      <c r="L101" s="6">
        <f>IFERROR(MAX(0,J101-K101),"")</f>
        <v/>
      </c>
      <c r="M101" s="6">
        <f>IFERROR(I101+L101,"")</f>
        <v/>
      </c>
      <c r="N101" s="6">
        <f>IFERROR(SUM('02_Exchange_Flux'!L101:Q101),"")</f>
        <v/>
      </c>
      <c r="O101" s="6">
        <f>IFERROR(ABS('02_Exchange_Flux'!M101)+ABS('02_Exchange_Flux'!S101),"")</f>
        <v/>
      </c>
      <c r="P101" s="6">
        <f>'02_Exchange_Flux'!R101</f>
        <v/>
      </c>
      <c r="Q101" s="6">
        <f>IFERROR(G101/F101,"")</f>
        <v/>
      </c>
      <c r="R101" s="2">
        <f>IF(A101="","",IF(Q101&gt;0.7,"High lactate overflow",IF(M101&gt;L101,"TCA-biased proxy","Balanced/Review")))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45" customWidth="1" min="3" max="3"/>
    <col width="45" customWidth="1" min="4" max="4"/>
    <col width="45" customWidth="1" min="5" max="5"/>
  </cols>
  <sheetData>
    <row r="1">
      <c r="A1" s="4" t="inlineStr">
        <is>
          <t>Pathway_Node</t>
        </is>
      </c>
      <c r="B1" s="4" t="inlineStr">
        <is>
          <t>Flux_Column</t>
        </is>
      </c>
      <c r="C1" s="4" t="inlineStr">
        <is>
          <t>Biological_Meaning</t>
        </is>
      </c>
      <c r="D1" s="4" t="inlineStr">
        <is>
          <t>Figure_Use</t>
        </is>
      </c>
      <c r="E1" s="4" t="inlineStr">
        <is>
          <t>Caution</t>
        </is>
      </c>
    </row>
    <row r="2">
      <c r="A2" s="2" t="inlineStr">
        <is>
          <t>Glucose uptake</t>
        </is>
      </c>
      <c r="B2" s="2" t="inlineStr">
        <is>
          <t>GLC_uptake</t>
        </is>
      </c>
      <c r="C2" s="2" t="inlineStr">
        <is>
          <t>Carbon source consumption</t>
        </is>
      </c>
      <c r="D2" s="2" t="inlineStr">
        <is>
          <t>Arrow into glycolysis</t>
        </is>
      </c>
      <c r="E2" s="2" t="inlineStr">
        <is>
          <t>Extracellular uptake only</t>
        </is>
      </c>
    </row>
    <row r="3">
      <c r="A3" s="2" t="inlineStr">
        <is>
          <t>Glycolysis to pyruvate</t>
        </is>
      </c>
      <c r="B3" s="2" t="inlineStr">
        <is>
          <t>Glycolysis_to_PYR_proxy</t>
        </is>
      </c>
      <c r="C3" s="2" t="inlineStr">
        <is>
          <t>Potential pyruvate generated from glucose</t>
        </is>
      </c>
      <c r="D3" s="2" t="inlineStr">
        <is>
          <t>Glycolysis arrow</t>
        </is>
      </c>
      <c r="E3" s="2" t="inlineStr">
        <is>
          <t>Proxy, not direct glycolysis flux</t>
        </is>
      </c>
    </row>
    <row r="4">
      <c r="A4" s="2" t="inlineStr">
        <is>
          <t>Lactate branch</t>
        </is>
      </c>
      <c r="B4" s="2" t="inlineStr">
        <is>
          <t>Lactate_branch</t>
        </is>
      </c>
      <c r="C4" s="2" t="inlineStr">
        <is>
          <t>Overflow metabolism / lactate secretion</t>
        </is>
      </c>
      <c r="D4" s="2" t="inlineStr">
        <is>
          <t>Pyruvate to lactate arrow</t>
        </is>
      </c>
      <c r="E4" s="2" t="inlineStr">
        <is>
          <t>Phase-dependent</t>
        </is>
      </c>
    </row>
    <row r="5">
      <c r="A5" s="2" t="inlineStr">
        <is>
          <t>Alanine branch</t>
        </is>
      </c>
      <c r="B5" s="2" t="inlineStr">
        <is>
          <t>Alanine_branch</t>
        </is>
      </c>
      <c r="C5" s="2" t="inlineStr">
        <is>
          <t>Pyruvate transamination / alanine secretion</t>
        </is>
      </c>
      <c r="D5" s="2" t="inlineStr">
        <is>
          <t>Pyruvate to alanine arrow</t>
        </is>
      </c>
      <c r="E5" s="2" t="inlineStr">
        <is>
          <t>Only if alanine measured</t>
        </is>
      </c>
    </row>
    <row r="6">
      <c r="A6" s="2" t="inlineStr">
        <is>
          <t>Pyruvate to TCA</t>
        </is>
      </c>
      <c r="B6" s="2" t="inlineStr">
        <is>
          <t>PYR_to_TCA_proxy</t>
        </is>
      </c>
      <c r="C6" s="2" t="inlineStr">
        <is>
          <t>Residual pyruvate entering mitochondria/TCA</t>
        </is>
      </c>
      <c r="D6" s="2" t="inlineStr">
        <is>
          <t>Pyruvate to TCA arrow</t>
        </is>
      </c>
      <c r="E6" s="2" t="inlineStr">
        <is>
          <t>Approximation</t>
        </is>
      </c>
    </row>
    <row r="7">
      <c r="A7" s="2" t="inlineStr">
        <is>
          <t>Glutamine uptake</t>
        </is>
      </c>
      <c r="B7" s="2" t="inlineStr">
        <is>
          <t>GLN_uptake</t>
        </is>
      </c>
      <c r="C7" s="2" t="inlineStr">
        <is>
          <t>Glutamine carbon/nitrogen input</t>
        </is>
      </c>
      <c r="D7" s="2" t="inlineStr">
        <is>
          <t>Glutamine entry arrow</t>
        </is>
      </c>
      <c r="E7" s="2" t="inlineStr">
        <is>
          <t>Uptake positive</t>
        </is>
      </c>
    </row>
    <row r="8">
      <c r="A8" s="2" t="inlineStr">
        <is>
          <t>Glutaminolysis to TCA</t>
        </is>
      </c>
      <c r="B8" s="2" t="inlineStr">
        <is>
          <t>Glutaminolysis_to_TCA_proxy</t>
        </is>
      </c>
      <c r="C8" s="2" t="inlineStr">
        <is>
          <t>Glutamine-derived TCA support</t>
        </is>
      </c>
      <c r="D8" s="2" t="inlineStr">
        <is>
          <t>Glutamine to TCA arrow</t>
        </is>
      </c>
      <c r="E8" s="2" t="inlineStr">
        <is>
          <t>Approximation</t>
        </is>
      </c>
    </row>
    <row r="9">
      <c r="A9" s="2" t="inlineStr">
        <is>
          <t>TCA input</t>
        </is>
      </c>
      <c r="B9" s="2" t="inlineStr">
        <is>
          <t>TCA_input_proxy</t>
        </is>
      </c>
      <c r="C9" s="2" t="inlineStr">
        <is>
          <t>Pyruvate + glutamine support</t>
        </is>
      </c>
      <c r="D9" s="2" t="inlineStr">
        <is>
          <t>Central TCA arrow</t>
        </is>
      </c>
      <c r="E9" s="2" t="inlineStr">
        <is>
          <t>Relative comparison only</t>
        </is>
      </c>
    </row>
    <row r="10">
      <c r="A10" s="2" t="inlineStr">
        <is>
          <t>AA uptake sum</t>
        </is>
      </c>
      <c r="B10" s="2" t="inlineStr">
        <is>
          <t>AA_uptake_sum_proxy</t>
        </is>
      </c>
      <c r="C10" s="2" t="inlineStr">
        <is>
          <t>Amino acid consumption supporting growth/product</t>
        </is>
      </c>
      <c r="D10" s="2" t="inlineStr">
        <is>
          <t>AA pool arrow</t>
        </is>
      </c>
      <c r="E10" s="2" t="inlineStr">
        <is>
          <t>Selected amino acids only</t>
        </is>
      </c>
    </row>
    <row r="11">
      <c r="A11" s="2" t="inlineStr">
        <is>
          <t>Asp-Mal shuttle</t>
        </is>
      </c>
      <c r="B11" s="2" t="inlineStr">
        <is>
          <t>Asp_Mal_shuttle_proxy</t>
        </is>
      </c>
      <c r="C11" s="2" t="inlineStr">
        <is>
          <t>Aspartate/malate-related shuttle proxy</t>
        </is>
      </c>
      <c r="D11" s="2" t="inlineStr">
        <is>
          <t>Asp-Mal shuttle arrow</t>
        </is>
      </c>
      <c r="E11" s="2" t="inlineStr">
        <is>
          <t>Requires malate for better interpretation</t>
        </is>
      </c>
    </row>
    <row r="12">
      <c r="A12" s="2" t="inlineStr">
        <is>
          <t>Ammonia burden</t>
        </is>
      </c>
      <c r="B12" s="2" t="inlineStr">
        <is>
          <t>NH4_burden</t>
        </is>
      </c>
      <c r="C12" s="2" t="inlineStr">
        <is>
          <t>Nitrogen waste/metabolic burden</t>
        </is>
      </c>
      <c r="D12" s="2" t="inlineStr">
        <is>
          <t>NH4 output arrow</t>
        </is>
      </c>
      <c r="E12" s="2" t="inlineStr">
        <is>
          <t>Higher may indicate stress/catabolism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7" t="inlineStr">
        <is>
          <t>Example Figure 3-style central flux proxy comparison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Flux</t>
        </is>
      </c>
      <c r="B3" s="4" t="inlineStr">
        <is>
          <t>Clone_1_example</t>
        </is>
      </c>
      <c r="C3" s="4" t="inlineStr">
        <is>
          <t>Clone_2_example</t>
        </is>
      </c>
    </row>
    <row r="4">
      <c r="A4" s="2" t="inlineStr">
        <is>
          <t>GLC uptake</t>
        </is>
      </c>
      <c r="B4" s="2">
        <f>'03_Central_Flux_Proxy'!E2</f>
        <v/>
      </c>
      <c r="C4" s="2">
        <f>'03_Central_Flux_Proxy'!E3</f>
        <v/>
      </c>
    </row>
    <row r="5">
      <c r="A5" s="2" t="inlineStr">
        <is>
          <t>Glycolysis→PYR</t>
        </is>
      </c>
      <c r="B5" s="2">
        <f>'03_Central_Flux_Proxy'!F2</f>
        <v/>
      </c>
      <c r="C5" s="2">
        <f>'03_Central_Flux_Proxy'!F3</f>
        <v/>
      </c>
    </row>
    <row r="6">
      <c r="A6" s="2" t="inlineStr">
        <is>
          <t>Lactate branch</t>
        </is>
      </c>
      <c r="B6" s="2">
        <f>'03_Central_Flux_Proxy'!G2</f>
        <v/>
      </c>
      <c r="C6" s="2">
        <f>'03_Central_Flux_Proxy'!G3</f>
        <v/>
      </c>
    </row>
    <row r="7">
      <c r="A7" s="2" t="inlineStr">
        <is>
          <t>PYR→TCA</t>
        </is>
      </c>
      <c r="B7" s="2">
        <f>'03_Central_Flux_Proxy'!I2</f>
        <v/>
      </c>
      <c r="C7" s="2">
        <f>'03_Central_Flux_Proxy'!I3</f>
        <v/>
      </c>
    </row>
    <row r="8">
      <c r="A8" s="2" t="inlineStr">
        <is>
          <t>GLN uptake</t>
        </is>
      </c>
      <c r="B8" s="2">
        <f>'03_Central_Flux_Proxy'!J2</f>
        <v/>
      </c>
      <c r="C8" s="2">
        <f>'03_Central_Flux_Proxy'!J3</f>
        <v/>
      </c>
    </row>
    <row r="9">
      <c r="A9" s="2" t="inlineStr">
        <is>
          <t>GLN→TCA</t>
        </is>
      </c>
      <c r="B9" s="2">
        <f>'03_Central_Flux_Proxy'!L2</f>
        <v/>
      </c>
      <c r="C9" s="2">
        <f>'03_Central_Flux_Proxy'!L3</f>
        <v/>
      </c>
    </row>
    <row r="10">
      <c r="A10" s="2" t="inlineStr">
        <is>
          <t>TCA input</t>
        </is>
      </c>
      <c r="B10" s="2">
        <f>'03_Central_Flux_Proxy'!M2</f>
        <v/>
      </c>
      <c r="C10" s="2">
        <f>'03_Central_Flux_Proxy'!M3</f>
        <v/>
      </c>
    </row>
    <row r="11">
      <c r="A11" s="2" t="inlineStr">
        <is>
          <t>AA uptake sum</t>
        </is>
      </c>
      <c r="B11" s="2">
        <f>'03_Central_Flux_Proxy'!N2</f>
        <v/>
      </c>
      <c r="C11" s="2">
        <f>'03_Central_Flux_Proxy'!N3</f>
        <v/>
      </c>
    </row>
    <row r="12">
      <c r="A12" s="2" t="inlineStr">
        <is>
          <t>NH4 burden</t>
        </is>
      </c>
      <c r="B12" s="2">
        <f>'03_Central_Flux_Proxy'!P2</f>
        <v/>
      </c>
      <c r="C12" s="2">
        <f>'03_Central_Flux_Proxy'!P3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75" customWidth="1" min="3" max="3"/>
  </cols>
  <sheetData>
    <row r="1">
      <c r="A1" s="4" t="inlineStr">
        <is>
          <t>Calculation</t>
        </is>
      </c>
      <c r="B1" s="4" t="inlineStr">
        <is>
          <t>Formula</t>
        </is>
      </c>
      <c r="C1" s="4" t="inlineStr">
        <is>
          <t>Interpretation</t>
        </is>
      </c>
    </row>
    <row r="2">
      <c r="A2" s="2" t="inlineStr">
        <is>
          <t>delta_t_day</t>
        </is>
      </c>
      <c r="B2" s="2" t="inlineStr">
        <is>
          <t>(t_end_h - t_start_h) / 24</t>
        </is>
      </c>
      <c r="C2" s="2" t="inlineStr">
        <is>
          <t>Time interval in days</t>
        </is>
      </c>
    </row>
    <row r="3">
      <c r="A3" s="2" t="inlineStr">
        <is>
          <t>avg_VCD</t>
        </is>
      </c>
      <c r="B3" s="2" t="inlineStr">
        <is>
          <t>AVERAGE(VCD_start, VCD_end)</t>
        </is>
      </c>
      <c r="C3" s="2" t="inlineStr">
        <is>
          <t>Simple average viable cell density</t>
        </is>
      </c>
    </row>
    <row r="4">
      <c r="A4" s="2" t="inlineStr">
        <is>
          <t>Uptake flux</t>
        </is>
      </c>
      <c r="B4" s="2" t="inlineStr">
        <is>
          <t>(C_start - C_end) / delta_t_day / avg_VCD</t>
        </is>
      </c>
      <c r="C4" s="2" t="inlineStr">
        <is>
          <t>Positive = consumed by cells</t>
        </is>
      </c>
    </row>
    <row r="5">
      <c r="A5" s="2" t="inlineStr">
        <is>
          <t>Secretion flux</t>
        </is>
      </c>
      <c r="B5" s="2" t="inlineStr">
        <is>
          <t>(C_end - C_start) / delta_t_day / avg_VCD</t>
        </is>
      </c>
      <c r="C5" s="2" t="inlineStr">
        <is>
          <t>Positive = secreted by cells</t>
        </is>
      </c>
    </row>
    <row r="6">
      <c r="A6" s="2" t="inlineStr">
        <is>
          <t>Glycolysis_to_PYR_proxy</t>
        </is>
      </c>
      <c r="B6" s="2" t="inlineStr">
        <is>
          <t>Glucose_uptake × 2</t>
        </is>
      </c>
      <c r="C6" s="2" t="inlineStr">
        <is>
          <t>1 glucose can generate 2 pyruvate</t>
        </is>
      </c>
    </row>
    <row r="7">
      <c r="A7" s="2" t="inlineStr">
        <is>
          <t>PYR_to_TCA_proxy</t>
        </is>
      </c>
      <c r="B7" s="2" t="inlineStr">
        <is>
          <t>MAX(0, Glycolysis_to_PYR - Lactate_branch - Alanine_branch)</t>
        </is>
      </c>
      <c r="C7" s="2" t="inlineStr">
        <is>
          <t>Residual pyruvate proxy entering mitochondria</t>
        </is>
      </c>
    </row>
    <row r="8">
      <c r="A8" s="2" t="inlineStr">
        <is>
          <t>Glutaminolysis_to_TCA_proxy</t>
        </is>
      </c>
      <c r="B8" s="2" t="inlineStr">
        <is>
          <t>MAX(0, Glutamine_uptake - Glutamate_secretion)</t>
        </is>
      </c>
      <c r="C8" s="2" t="inlineStr">
        <is>
          <t>Simplified glutamine-derived TCA support proxy</t>
        </is>
      </c>
    </row>
    <row r="9">
      <c r="A9" s="2" t="inlineStr">
        <is>
          <t>TCA_input_proxy</t>
        </is>
      </c>
      <c r="B9" s="2" t="inlineStr">
        <is>
          <t>PYR_to_TCA_proxy + Glutaminolysis_to_TCA_proxy</t>
        </is>
      </c>
      <c r="C9" s="2" t="inlineStr">
        <is>
          <t>Central TCA input proxy</t>
        </is>
      </c>
    </row>
    <row r="10">
      <c r="A10" s="2" t="inlineStr">
        <is>
          <t>Redox_overflow_ratio</t>
        </is>
      </c>
      <c r="B10" s="2" t="inlineStr">
        <is>
          <t>Lactate_branch / Glycolysis_to_PYR_proxy</t>
        </is>
      </c>
      <c r="C10" s="2" t="inlineStr">
        <is>
          <t>Higher = stronger lactate overflow tendency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2026-05-29T01:17:14Z</dcterms:created>
  <dcterms:modified xmlns:dcterms="http://purl.org/dc/terms/" xmlns:xsi="http://www.w3.org/2001/XMLSchema-instance" xsi:type="dcterms:W3CDTF">2026-05-29T01:17:14Z</dcterms:modified>
</cp:coreProperties>
</file>