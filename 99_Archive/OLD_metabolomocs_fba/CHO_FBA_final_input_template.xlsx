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fde238781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KR" sheetId="1" r:id="R1e3ae0ea8008409c"/>
    <x:sheet xmlns:r="http://schemas.openxmlformats.org/officeDocument/2006/relationships" name="Run_Order" sheetId="2" r:id="Ra8e005e90c354494"/>
    <x:sheet xmlns:r="http://schemas.openxmlformats.org/officeDocument/2006/relationships" name="Experiment_Design" sheetId="3" r:id="R53b1d246c94a45d2"/>
    <x:sheet xmlns:r="http://schemas.openxmlformats.org/officeDocument/2006/relationships" name="Process_Data" sheetId="4" r:id="R9765b5381a854433"/>
    <x:sheet xmlns:r="http://schemas.openxmlformats.org/officeDocument/2006/relationships" name="Feed_Additions" sheetId="5" r:id="R484f0ee40396427a"/>
    <x:sheet xmlns:r="http://schemas.openxmlformats.org/officeDocument/2006/relationships" name="Feed_Composition_Measured" sheetId="6" r:id="R011fa03c59624232"/>
    <x:sheet xmlns:r="http://schemas.openxmlformats.org/officeDocument/2006/relationships" name="Extracellular_Metabolomics" sheetId="7" r:id="R20fa218cd1034c65"/>
    <x:sheet xmlns:r="http://schemas.openxmlformats.org/officeDocument/2006/relationships" name="Metabolite_Panel" sheetId="8" r:id="Ra1bfc00623964376"/>
    <x:sheet xmlns:r="http://schemas.openxmlformats.org/officeDocument/2006/relationships" name="Exchange_Map_iCHO3K" sheetId="9" r:id="Rfb4568966f164bbe"/>
    <x:sheet xmlns:r="http://schemas.openxmlformats.org/officeDocument/2006/relationships" name="Rate_Calc_Template" sheetId="10" r:id="R963d80caa45246a9"/>
    <x:sheet xmlns:r="http://schemas.openxmlformats.org/officeDocument/2006/relationships" name="FBA_Export" sheetId="11" r:id="Rbdda2d3ec7af444f"/>
    <x:sheet xmlns:r="http://schemas.openxmlformats.org/officeDocument/2006/relationships" name="QC_Dashboard" sheetId="12" r:id="R16bdcc6c463d4679"/>
    <x:sheet xmlns:r="http://schemas.openxmlformats.org/officeDocument/2006/relationships" name="Public_POC_Data" sheetId="13" r:id="R261761967b7a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D3"/>
      </x:patternFill>
    </x:fill>
    <x:fill>
      <x:patternFill patternType="solid">
        <x:fgColor rgb="134F5C"/>
      </x:patternFill>
    </x:fill>
    <x:fill>
      <x:patternFill patternType="solid">
        <x:fgColor rgb="1D4ED8"/>
      </x:patternFill>
    </x:fill>
    <x:fill>
      <x:patternFill patternType="solid">
        <x:fgColor rgb="783F04"/>
      </x:patternFill>
    </x:fill>
    <x:fill>
      <x:patternFill patternType="solid">
        <x:fgColor rgb="7C3AED"/>
      </x:patternFill>
    </x:fill>
    <x:fill>
      <x:patternFill patternType="solid">
        <x:fgColor rgb="0B5394"/>
      </x:patternFill>
    </x:fill>
    <x:fill>
      <x:patternFill patternType="solid">
        <x:fgColor rgb="166534"/>
      </x:patternFill>
    </x:fill>
    <x:fill>
      <x:patternFill patternType="solid">
        <x:fgColor rgb="4C1130"/>
      </x:patternFill>
    </x:fill>
    <x:fill>
      <x:patternFill patternType="solid">
        <x:fgColor rgb="B45309"/>
      </x:patternFill>
    </x:fill>
    <x:fill>
      <x:patternFill patternType="solid">
        <x:fgColor rgb="1E293B"/>
      </x:patternFill>
    </x:fill>
    <x:fill>
      <x:patternFill patternType="solid">
        <x:fgColor rgb="374151"/>
      </x:patternFill>
    </x:fill>
    <x:fill>
      <x:patternFill patternType="solid">
        <x:fgColor rgb="0E7490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200" fontId="3" fillId="11" borderId="0" xfId="0" applyNumberFormat="1" applyFont="1" applyFill="1" applyBorder="1" applyAlignment="1">
      <x:alignment horizontal="center"/>
    </x:xf>
    <x:xf numFmtId="200" fontId="3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wrapText="1"/>
    </x:xf>
    <x:xf numFmtId="200" fontId="3" fillId="11" borderId="0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wrapText="1"/>
    </x:xf>
    <x:xf numFmtId="200" fontId="3" fillId="11" borderId="1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04488213e4b3a" /><Relationship Type="http://schemas.openxmlformats.org/officeDocument/2006/relationships/theme" Target="/xl/theme/theme1.xml" Id="Rb356012c012d4c5c" /><Relationship Type="http://schemas.microsoft.com/office/2022/11/relationships/FeaturePropertyBag" Target="/xl/featurePropertyBag/featurePropertyBag.xml" Id="R1f4f3299d1874a18" /><Relationship Type="http://schemas.openxmlformats.org/officeDocument/2006/relationships/sharedStrings" Target="/xl/sharedStrings.xml" Id="R6dc9f829b92a412b" /><Relationship Type="http://schemas.openxmlformats.org/officeDocument/2006/relationships/worksheet" Target="/xl/worksheets/sheet1.xml" Id="R1e3ae0ea8008409c" /><Relationship Type="http://schemas.openxmlformats.org/officeDocument/2006/relationships/worksheet" Target="/xl/worksheets/sheet2.xml" Id="Ra8e005e90c354494" /><Relationship Type="http://schemas.openxmlformats.org/officeDocument/2006/relationships/worksheet" Target="/xl/worksheets/sheet3.xml" Id="R53b1d246c94a45d2" /><Relationship Type="http://schemas.openxmlformats.org/officeDocument/2006/relationships/worksheet" Target="/xl/worksheets/sheet4.xml" Id="R9765b5381a854433" /><Relationship Type="http://schemas.openxmlformats.org/officeDocument/2006/relationships/worksheet" Target="/xl/worksheets/sheet5.xml" Id="R484f0ee40396427a" /><Relationship Type="http://schemas.openxmlformats.org/officeDocument/2006/relationships/worksheet" Target="/xl/worksheets/sheet6.xml" Id="R011fa03c59624232" /><Relationship Type="http://schemas.openxmlformats.org/officeDocument/2006/relationships/worksheet" Target="/xl/worksheets/sheet7.xml" Id="R20fa218cd1034c65" /><Relationship Type="http://schemas.openxmlformats.org/officeDocument/2006/relationships/worksheet" Target="/xl/worksheets/sheet8.xml" Id="Ra1bfc00623964376" /><Relationship Type="http://schemas.openxmlformats.org/officeDocument/2006/relationships/worksheet" Target="/xl/worksheets/sheet9.xml" Id="Rfb4568966f164bbe" /><Relationship Type="http://schemas.openxmlformats.org/officeDocument/2006/relationships/worksheet" Target="/xl/worksheets/sheet10.xml" Id="R963d80caa45246a9" /><Relationship Type="http://schemas.openxmlformats.org/officeDocument/2006/relationships/worksheet" Target="/xl/worksheets/sheet11.xml" Id="Rbdda2d3ec7af444f" /><Relationship Type="http://schemas.openxmlformats.org/officeDocument/2006/relationships/worksheet" Target="/xl/worksheets/sheet12.xml" Id="R16bdcc6c463d4679" /><Relationship Type="http://schemas.openxmlformats.org/officeDocument/2006/relationships/worksheet" Target="/xl/worksheets/sheet13.xml" Id="R261761967b7a48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4" t="str">
        <x:v>CHO metabolomics → FBA/FVA 입력 템플릿</x:v>
      </x:c>
      <x:c r="B1" s="4" t="str"/>
      <x:c r="C1" s="4" t="str"/>
      <x:c r="D1" s="4" t="str"/>
    </x:row>
    <x:row r="2">
      <x:c r="A2" s="9" t="str">
        <x:v>목적</x:v>
      </x:c>
      <x:c r="B2" s="12" t="str">
        <x:v>fed-batch CHO clone별 spent media metabolomics를 exchange flux로 변환하고 iCHO3K FBA/FVA에 넣기 위한 표준 양식</x:v>
      </x:c>
      <x:c r="C2" s="12" t="str"/>
      <x:c r="D2" s="12" t="str"/>
    </x:row>
    <x:row r="3">
      <x:c r="A3" s="9" t="str">
        <x:v>기본 사용 순서</x:v>
      </x:c>
      <x:c r="B3" s="12" t="str">
        <x:v>1) Experiment_Design 입력 → 2) Process_Data 입력 → 3) Feed_Additions 입력 → 4) Extracellular_Metabolomics 입력 → 5) scripts\02_import_experiment_excel.py 실행</x:v>
      </x:c>
      <x:c r="C3" s="12" t="str"/>
      <x:c r="D3" s="12" t="str"/>
    </x:row>
    <x:row r="4">
      <x:c r="A4" s="9" t="str">
        <x:v>중요 개념</x:v>
      </x:c>
      <x:c r="B4" s="12" t="str">
        <x:v>음수 rate = uptake, 양수 rate = secretion. FBA constraint는 exchange reaction bound로 들어감.</x:v>
      </x:c>
      <x:c r="C4" s="12" t="str"/>
      <x:c r="D4" s="12" t="str"/>
    </x:row>
    <x:row r="5">
      <x:c r="A5" s="9" t="str">
        <x:v>권장 필수 대사체</x:v>
      </x:c>
      <x:c r="B5" s="12" t="str">
        <x:v>Glucose, Lactate, Glutamine, Glutamate, Ammonia, 20 amino acids</x:v>
      </x:c>
      <x:c r="C5" s="12" t="str"/>
      <x:c r="D5" s="12" t="str"/>
    </x:row>
    <x:row r="6">
      <x:c r="A6" s="9" t="str">
        <x:v>권장 time point</x:v>
      </x:c>
      <x:c r="B6" s="12" t="str">
        <x:v>Day 0/1, 2/3, 4/5, 6/7, 8/10, 12/14. Feed 직전/직후 샘플링을 구분하면 좋음.</x:v>
      </x:c>
      <x:c r="C6" s="12" t="str"/>
      <x:c r="D6" s="12" t="str"/>
    </x:row>
    <x:row r="7">
      <x:c r="A7" s="9" t="str">
        <x:v>주의</x:v>
      </x:c>
      <x:c r="B7" s="12" t="str">
        <x:v>이 템플릿의 Rate_Calc_Template는 구조/예시용이다. 실제 분석은 script가 Process_Data와 Extracellular_Metabolomics를 읽어 계산한다.</x:v>
      </x:c>
      <x:c r="C7" s="12" t="str"/>
      <x:c r="D7" s="12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5" hidden="0" customWidth="1"/>
    <x:col min="3" max="3" width="30" hidden="0" customWidth="1"/>
    <x:col min="4" max="4" width="30" hidden="0" customWidth="1"/>
    <x:col min="5" max="5" width="30" hidden="0" customWidth="1"/>
    <x:col min="1" max="1" width="8" hidden="0" customWidth="1"/>
  </x:cols>
  <x:sheetData>
    <x:row r="1">
      <x:c r="A1" s="20" t="str">
        <x:v>Step</x:v>
      </x:c>
      <x:c r="B1" s="20" t="str">
        <x:v>Command</x:v>
      </x:c>
      <x:c r="C1" s="20" t="str">
        <x:v>Input</x:v>
      </x:c>
      <x:c r="D1" s="20" t="str">
        <x:v>Output</x:v>
      </x:c>
      <x:c r="E1" s="20" t="str">
        <x:v>Note</x:v>
      </x:c>
    </x:row>
    <x:row r="2">
      <x:c r="A2" s="12" t="n">
        <x:v>0</x:v>
      </x:c>
      <x:c r="B2" s="12" t="str">
        <x:v>python scripts\00_setup_project.py --base C:\CHO_POC</x:v>
      </x:c>
      <x:c r="C2" s="12" t="str">
        <x:v>package folder</x:v>
      </x:c>
      <x:c r="D2" s="12" t="str">
        <x:v>data/model/results folders</x:v>
      </x:c>
      <x:c r="E2" s="12" t="str">
        <x:v>처음 1회</x:v>
      </x:c>
    </x:row>
    <x:row r="3">
      <x:c r="A3" s="12" t="n">
        <x:v>1</x:v>
      </x:c>
      <x:c r="B3" s="12" t="str">
        <x:v>python scripts\01_model_check.py --base C:\CHO_POC --model-file C:\CHO_POC\model\iCHO3K-main\iCHO3K\Model\iCHO3K_cho_prod_generic_unblocked.json</x:v>
      </x:c>
      <x:c r="C3" s="12" t="str">
        <x:v>iCHO3K model</x:v>
      </x:c>
      <x:c r="D3" s="12" t="str">
        <x:v>results\tables\exchange_reactions.csv</x:v>
      </x:c>
      <x:c r="E3" s="12" t="str">
        <x:v>모델/Objective 확인</x:v>
      </x:c>
    </x:row>
    <x:row r="4">
      <x:c r="A4" s="12" t="n">
        <x:v>2</x:v>
      </x:c>
      <x:c r="B4" s="12" t="str">
        <x:v>python scripts\02_import_experiment_excel.py --base C:\CHO_POC --input templates\CHO_FBA_final_input_template.xlsx</x:v>
      </x:c>
      <x:c r="C4" s="12" t="str">
        <x:v>this workbook</x:v>
      </x:c>
      <x:c r="D4" s="12" t="str">
        <x:v>data\metabolomics\processed\exchange_rates_from_template.csv</x:v>
      </x:c>
      <x:c r="E4" s="12" t="str">
        <x:v>실험값 → exchange rate</x:v>
      </x:c>
    </x:row>
    <x:row r="5">
      <x:c r="A5" s="12" t="n">
        <x:v>3</x:v>
      </x:c>
      <x:c r="B5" s="12" t="str">
        <x:v>python scripts\03_run_fba_fva.py --base C:\CHO_POC --condition Clone_A --rates-file data\metabolomics\processed\exchange_rates_from_template.csv --skip-fva</x:v>
      </x:c>
      <x:c r="C5" s="12" t="str">
        <x:v>exchange rates</x:v>
      </x:c>
      <x:c r="D5" s="12" t="str">
        <x:v>FBA/pFBA flux csv</x:v>
      </x:c>
      <x:c r="E5" s="12" t="str">
        <x:v>처음에는 --skip-fva 권장</x:v>
      </x:c>
    </x:row>
    <x:row r="6">
      <x:c r="A6" s="12" t="n">
        <x:v>4</x:v>
      </x:c>
      <x:c r="B6" s="12" t="str">
        <x:v>python scripts\04_plot_summary.py --base C:\CHO_POC --conditions Clone_A Clone_B</x:v>
      </x:c>
      <x:c r="C6" s="12" t="str">
        <x:v>results\tables</x:v>
      </x:c>
      <x:c r="D6" s="12" t="str">
        <x:v>results\figures</x:v>
      </x:c>
      <x:c r="E6" s="12" t="str">
        <x:v>비교 plot</x:v>
      </x:c>
    </x:row>
    <x:row r="7">
      <x:c r="A7" s="12" t="n">
        <x:v>5</x:v>
      </x:c>
      <x:c r="B7" s="12" t="str">
        <x:v>python scripts\05_make_escher_html.py --base C:\CHO_POC --condition Clone_A --model-file ... --map-json maps\cho_exchange_flux_map.json</x:v>
      </x:c>
      <x:c r="C7" s="12" t="str">
        <x:v>pFBA flux + Escher map</x:v>
      </x:c>
      <x:c r="D7" s="12" t="str">
        <x:v>results\escher\*.html</x:v>
      </x:c>
      <x:c r="E7" s="12" t="str">
        <x:v>interactive flux map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</x:cols>
  <x:sheetData>
    <x:row r="1">
      <x:c r="A1" s="92" t="str">
        <x:v>condition</x:v>
      </x:c>
      <x:c r="B1" s="92" t="str">
        <x:v>clone_id</x:v>
      </x:c>
      <x:c r="C1" s="92" t="str">
        <x:v>producer_class</x:v>
      </x:c>
      <x:c r="D1" s="92" t="str">
        <x:v>run_id</x:v>
      </x:c>
      <x:c r="E1" s="92" t="str">
        <x:v>vessel</x:v>
      </x:c>
      <x:c r="F1" s="92" t="str">
        <x:v>media</x:v>
      </x:c>
      <x:c r="G1" s="92" t="str">
        <x:v>feed_strategy</x:v>
      </x:c>
      <x:c r="H1" s="92" t="str">
        <x:v>objective_note</x:v>
      </x:c>
      <x:c r="I1" s="92" t="str">
        <x:v>include_in_fba</x:v>
      </x:c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str">
        <x:v>A01</x:v>
      </x:c>
      <x:c r="C2" t="str">
        <x:v>High</x:v>
      </x:c>
      <x:c r="D2" t="str">
        <x:v>Run01</x:v>
      </x:c>
      <x:c r="E2" t="str">
        <x:v>Ambr15</x:v>
      </x:c>
      <x:c r="F2" t="str">
        <x:v>ActiPro</x:v>
      </x:c>
      <x:c r="G2" t="str">
        <x:v>glucose + Feed4</x:v>
      </x:c>
      <x:c r="H2" t="str">
        <x:v>candidate high producer</x:v>
      </x:c>
      <x:c r="I2" s="21" t="b">
        <x:v>1</x:v>
      </x:c>
    </x:row>
    <x:row r="3">
      <x:c r="A3" t="str">
        <x:v>Clone_B</x:v>
      </x:c>
      <x:c r="B3" t="str">
        <x:v>B01</x:v>
      </x:c>
      <x:c r="C3" t="str">
        <x:v>Low</x:v>
      </x:c>
      <x:c r="D3" t="str">
        <x:v>Run01</x:v>
      </x:c>
      <x:c r="E3" t="str">
        <x:v>Ambr15</x:v>
      </x:c>
      <x:c r="F3" t="str">
        <x:v>ActiPro</x:v>
      </x:c>
      <x:c r="G3" t="str">
        <x:v>glucose + Feed4</x:v>
      </x:c>
      <x:c r="H3" t="str">
        <x:v>candidate low producer</x:v>
      </x:c>
      <x:c r="I3" s="21" t="b">
        <x:v>1</x:v>
      </x:c>
    </x:row>
    <x:row r="4">
      <x:c r="A4" t="str">
        <x:v>Clone_C</x:v>
      </x:c>
      <x:c r="B4" t="str">
        <x:v>C01</x:v>
      </x:c>
      <x:c r="C4" t="str">
        <x:v>Medium</x:v>
      </x:c>
      <x:c r="D4" t="str">
        <x:v>Run01</x:v>
      </x:c>
      <x:c r="E4" t="str">
        <x:v>Ambr15</x:v>
      </x:c>
      <x:c r="F4" t="str">
        <x:v>ActiPro</x:v>
      </x:c>
      <x:c r="G4" t="str">
        <x:v>glucose + Feed4</x:v>
      </x:c>
      <x:c r="H4" t="str"/>
      <x:c r="I4" s="21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>
      <x:c r="A1" s="94" t="str">
        <x:v>condition</x:v>
      </x:c>
      <x:c r="B1" s="94" t="str">
        <x:v>day</x:v>
      </x:c>
      <x:c r="C1" s="94" t="str">
        <x:v>time_h</x:v>
      </x:c>
      <x:c r="D1" s="94" t="str">
        <x:v>vcd_10e6_cells_mL</x:v>
      </x:c>
      <x:c r="E1" s="94" t="str">
        <x:v>viability_pct</x:v>
      </x:c>
      <x:c r="F1" s="94" t="str">
        <x:v>culture_volume_mL</x:v>
      </x:c>
      <x:c r="G1" s="94" t="str">
        <x:v>sample_removed_mL</x:v>
      </x:c>
      <x:c r="H1" s="94" t="str">
        <x:v>ivcd_10e6_cell_day_mL</x:v>
      </x:c>
      <x:c r="I1" s="94" t="str">
        <x:v>titer_g_L</x:v>
      </x:c>
      <x:c r="J1" s="94" t="str">
        <x:v>qP_pg_cell_day</x:v>
      </x:c>
      <x:c r="K1" s="94" t="str">
        <x:v>note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n">
        <x:v>1</x:v>
      </x:c>
      <x:c r="C2" t="n">
        <x:v>24</x:v>
      </x:c>
      <x:c r="D2" t="n">
        <x:v>0.8</x:v>
      </x:c>
      <x:c r="E2" t="n">
        <x:v>98</x:v>
      </x:c>
      <x:c r="F2" t="n">
        <x:v>30</x:v>
      </x:c>
      <x:c r="G2" t="n">
        <x:v>0.5</x:v>
      </x:c>
      <x:c r="H2" t="str"/>
      <x:c r="I2" t="n">
        <x:v>0</x:v>
      </x:c>
      <x:c r="J2" t="str"/>
      <x:c r="K2" t="str">
        <x:v>seed</x:v>
      </x:c>
    </x:row>
    <x:row r="3">
      <x:c r="A3" t="str">
        <x:v>Clone_A</x:v>
      </x:c>
      <x:c r="B3" t="n">
        <x:v>4</x:v>
      </x:c>
      <x:c r="C3" t="n">
        <x:v>96</x:v>
      </x:c>
      <x:c r="D3" t="n">
        <x:v>3.5</x:v>
      </x:c>
      <x:c r="E3" t="n">
        <x:v>97</x:v>
      </x:c>
      <x:c r="F3" t="n">
        <x:v>29</x:v>
      </x:c>
      <x:c r="G3" t="n">
        <x:v>0.5</x:v>
      </x:c>
      <x:c r="H3" t="n">
        <x:f>IF(A3=A2,H2+((D3+D2)/2)*(B3-B2),0)</x:f>
        <x:v>6.449999999999999</x:v>
      </x:c>
      <x:c r="I3" t="n">
        <x:v>0.2</x:v>
      </x:c>
      <x:c r="J3" t="str"/>
      <x:c r="K3" t="str"/>
    </x:row>
    <x:row r="4">
      <x:c r="A4" t="str">
        <x:v>Clone_A</x:v>
      </x:c>
      <x:c r="B4" t="n">
        <x:v>8</x:v>
      </x:c>
      <x:c r="C4" t="n">
        <x:v>192</x:v>
      </x:c>
      <x:c r="D4" t="n">
        <x:v>7.5</x:v>
      </x:c>
      <x:c r="E4" t="n">
        <x:v>94</x:v>
      </x:c>
      <x:c r="F4" t="n">
        <x:v>28</x:v>
      </x:c>
      <x:c r="G4" t="n">
        <x:v>0.5</x:v>
      </x:c>
      <x:c r="H4" t="n">
        <x:f>IF(A4=A3,H3+((D4+D3)/2)*(B4-B3),0)</x:f>
        <x:v>28.45</x:v>
      </x:c>
      <x:c r="I4" t="n">
        <x:v>1.2</x:v>
      </x:c>
      <x:c r="J4" t="str"/>
      <x:c r="K4" t="str"/>
    </x:row>
    <x:row r="5">
      <x:c r="A5" t="str">
        <x:v>Clone_A</x:v>
      </x:c>
      <x:c r="B5" t="n">
        <x:v>12</x:v>
      </x:c>
      <x:c r="C5" t="n">
        <x:v>288</x:v>
      </x:c>
      <x:c r="D5" t="n">
        <x:v>5.5</x:v>
      </x:c>
      <x:c r="E5" t="n">
        <x:v>80</x:v>
      </x:c>
      <x:c r="F5" t="n">
        <x:v>27</x:v>
      </x:c>
      <x:c r="G5" t="n">
        <x:v>0.5</x:v>
      </x:c>
      <x:c r="H5" t="n">
        <x:f>IF(A5=A4,H4+((D5+D4)/2)*(B5-B4),0)</x:f>
        <x:v>54.45</x:v>
      </x:c>
      <x:c r="I5" t="n">
        <x:v>2.5</x:v>
      </x:c>
      <x:c r="J5" t="str"/>
      <x:c r="K5" t="str"/>
    </x:row>
    <x:row r="6">
      <x:c r="A6" t="str">
        <x:v>Clone_B</x:v>
      </x:c>
      <x:c r="B6" t="n">
        <x:v>1</x:v>
      </x:c>
      <x:c r="C6" t="n">
        <x:v>24</x:v>
      </x:c>
      <x:c r="D6" t="n">
        <x:v>0.8</x:v>
      </x:c>
      <x:c r="E6" t="n">
        <x:v>98</x:v>
      </x:c>
      <x:c r="F6" t="n">
        <x:v>30</x:v>
      </x:c>
      <x:c r="G6" t="n">
        <x:v>0.5</x:v>
      </x:c>
      <x:c r="H6" t="n">
        <x:f>IF(A6=A5,H5+((D6+D5)/2)*(B6-B5),0)</x:f>
        <x:v>0</x:v>
      </x:c>
      <x:c r="I6" t="n">
        <x:v>0</x:v>
      </x:c>
      <x:c r="J6" t="str"/>
      <x:c r="K6" t="str">
        <x:v>seed</x:v>
      </x:c>
    </x:row>
    <x:row r="7">
      <x:c r="A7" t="str">
        <x:v>Clone_B</x:v>
      </x:c>
      <x:c r="B7" t="n">
        <x:v>4</x:v>
      </x:c>
      <x:c r="C7" t="n">
        <x:v>96</x:v>
      </x:c>
      <x:c r="D7" t="n">
        <x:v>3.3</x:v>
      </x:c>
      <x:c r="E7" t="n">
        <x:v>96</x:v>
      </x:c>
      <x:c r="F7" t="n">
        <x:v>29</x:v>
      </x:c>
      <x:c r="G7" t="n">
        <x:v>0.5</x:v>
      </x:c>
      <x:c r="H7" t="n">
        <x:f>IF(A7=A6,H6+((D7+D6)/2)*(B7-B6),0)</x:f>
        <x:v>6.1499999999999995</x:v>
      </x:c>
      <x:c r="I7" t="n">
        <x:v>0.12</x:v>
      </x:c>
      <x:c r="J7" t="str"/>
      <x:c r="K7" t="str"/>
    </x:row>
    <x:row r="8">
      <x:c r="A8" t="str">
        <x:v>Clone_B</x:v>
      </x:c>
      <x:c r="B8" t="n">
        <x:v>8</x:v>
      </x:c>
      <x:c r="C8" t="n">
        <x:v>192</x:v>
      </x:c>
      <x:c r="D8" t="n">
        <x:v>6.8</x:v>
      </x:c>
      <x:c r="E8" t="n">
        <x:v>90</x:v>
      </x:c>
      <x:c r="F8" t="n">
        <x:v>28</x:v>
      </x:c>
      <x:c r="G8" t="n">
        <x:v>0.5</x:v>
      </x:c>
      <x:c r="H8" t="n">
        <x:f>IF(A8=A7,H7+((D8+D7)/2)*(B8-B7),0)</x:f>
        <x:v>26.349999999999998</x:v>
      </x:c>
      <x:c r="I8" t="n">
        <x:v>0.65</x:v>
      </x:c>
      <x:c r="J8" t="str"/>
      <x:c r="K8" t="str"/>
    </x:row>
    <x:row r="9">
      <x:c r="A9" t="str">
        <x:v>Clone_B</x:v>
      </x:c>
      <x:c r="B9" t="n">
        <x:v>12</x:v>
      </x:c>
      <x:c r="C9" t="n">
        <x:v>288</x:v>
      </x:c>
      <x:c r="D9" t="n">
        <x:v>4.8</x:v>
      </x:c>
      <x:c r="E9" t="n">
        <x:v>72</x:v>
      </x:c>
      <x:c r="F9" t="n">
        <x:v>27</x:v>
      </x:c>
      <x:c r="G9" t="n">
        <x:v>0.5</x:v>
      </x:c>
      <x:c r="H9" t="n">
        <x:f>IF(A9=A8,H8+((D9+D8)/2)*(B9-B8),0)</x:f>
        <x:v>49.55</x:v>
      </x:c>
      <x:c r="I9" t="n">
        <x:v>1.1</x:v>
      </x:c>
      <x:c r="J9" t="str"/>
      <x:c r="K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8" hidden="0" customWidth="1"/>
  </x:cols>
  <x:sheetData>
    <x:row r="1">
      <x:c r="A1" s="96" t="str">
        <x:v>condition</x:v>
      </x:c>
      <x:c r="B1" s="96" t="str">
        <x:v>day</x:v>
      </x:c>
      <x:c r="C1" s="96" t="str">
        <x:v>time_h</x:v>
      </x:c>
      <x:c r="D1" s="96" t="str">
        <x:v>addition_type</x:v>
      </x:c>
      <x:c r="E1" s="96" t="str">
        <x:v>reagent</x:v>
      </x:c>
      <x:c r="F1" s="96" t="str">
        <x:v>volume_mL</x:v>
      </x:c>
      <x:c r="G1" s="96" t="str">
        <x:v>concentration_mM_or_gL</x:v>
      </x:c>
      <x:c r="H1" s="96" t="str">
        <x:v>amount_mmol_or_g</x:v>
      </x:c>
      <x:c r="I1" s="96" t="str">
        <x:v>target_metabolite</x:v>
      </x:c>
      <x:c r="J1" s="96" t="str">
        <x:v>note</x:v>
      </x:c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n">
        <x:v>3</x:v>
      </x:c>
      <x:c r="C2" t="n">
        <x:v>72</x:v>
      </x:c>
      <x:c r="D2" t="str">
        <x:v>feed</x:v>
      </x:c>
      <x:c r="E2" t="str">
        <x:v>Feed4</x:v>
      </x:c>
      <x:c r="F2" t="n">
        <x:v>1.5</x:v>
      </x:c>
      <x:c r="G2" t="str"/>
      <x:c r="H2" t="str"/>
      <x:c r="I2" t="str">
        <x:v>complex_feed</x:v>
      </x:c>
      <x:c r="J2" t="str">
        <x:v>composition unknown unless measured</x:v>
      </x:c>
    </x:row>
    <x:row r="3">
      <x:c r="A3" t="str">
        <x:v>Clone_A</x:v>
      </x:c>
      <x:c r="B3" t="n">
        <x:v>5</x:v>
      </x:c>
      <x:c r="C3" t="n">
        <x:v>120</x:v>
      </x:c>
      <x:c r="D3" t="str">
        <x:v>glucose_shot</x:v>
      </x:c>
      <x:c r="E3" t="str">
        <x:v>Glucose</x:v>
      </x:c>
      <x:c r="F3" t="n">
        <x:v>0.3</x:v>
      </x:c>
      <x:c r="G3" t="n">
        <x:v>1000</x:v>
      </x:c>
      <x:c r="H3" t="n">
        <x:f>F2*G2/1000</x:f>
        <x:v>0</x:v>
      </x:c>
      <x:c r="I3" t="str">
        <x:v>Glucose</x:v>
      </x:c>
      <x:c r="J3" t="str"/>
    </x:row>
    <x:row r="4">
      <x:c r="A4" t="str">
        <x:v>Clone_B</x:v>
      </x:c>
      <x:c r="B4" t="n">
        <x:v>3</x:v>
      </x:c>
      <x:c r="C4" t="n">
        <x:v>72</x:v>
      </x:c>
      <x:c r="D4" t="str">
        <x:v>feed</x:v>
      </x:c>
      <x:c r="E4" t="str">
        <x:v>Feed4</x:v>
      </x:c>
      <x:c r="F4" t="n">
        <x:v>1.5</x:v>
      </x:c>
      <x:c r="G4" t="str"/>
      <x:c r="H4" t="str"/>
      <x:c r="I4" t="str">
        <x:v>complex_feed</x:v>
      </x:c>
      <x:c r="J4" t="str"/>
    </x:row>
    <x:row r="5">
      <x:c r="A5" t="str">
        <x:v>Clone_B</x:v>
      </x:c>
      <x:c r="B5" t="n">
        <x:v>5</x:v>
      </x:c>
      <x:c r="C5" t="n">
        <x:v>120</x:v>
      </x:c>
      <x:c r="D5" t="str">
        <x:v>glucose_shot</x:v>
      </x:c>
      <x:c r="E5" t="str">
        <x:v>Glucose</x:v>
      </x:c>
      <x:c r="F5" t="n">
        <x:v>0.3</x:v>
      </x:c>
      <x:c r="G5" t="n">
        <x:v>1000</x:v>
      </x:c>
      <x:c r="H5" t="n">
        <x:f>F4*G4/1000</x:f>
        <x:v>0</x:v>
      </x:c>
      <x:c r="I5" t="str">
        <x:v>Glucose</x:v>
      </x:c>
      <x:c r="J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98" t="str">
        <x:v>feed_name</x:v>
      </x:c>
      <x:c r="B1" s="98" t="str">
        <x:v>lot</x:v>
      </x:c>
      <x:c r="C1" s="98" t="str">
        <x:v>dilution_factor</x:v>
      </x:c>
      <x:c r="D1" s="98" t="str">
        <x:v>metabolite</x:v>
      </x:c>
      <x:c r="E1" s="98" t="str">
        <x:v>measured_concentration_mM</x:v>
      </x:c>
      <x:c r="F1" s="98" t="str">
        <x:v>unit</x:v>
      </x:c>
      <x:c r="G1" s="98" t="str">
        <x:v>method</x:v>
      </x:c>
      <x:c r="H1" s="98" t="str">
        <x:v>note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Feed4</x:v>
      </x:c>
      <x:c r="B2" t="str">
        <x:v>lot001</x:v>
      </x:c>
      <x:c r="C2" t="n">
        <x:v>1</x:v>
      </x:c>
      <x:c r="D2" t="str">
        <x:v>Glucose</x:v>
      </x:c>
      <x:c r="E2" t="str"/>
      <x:c r="F2" t="str">
        <x:v>mM</x:v>
      </x:c>
      <x:c r="G2" t="str">
        <x:v>HPLC/BioProfile</x:v>
      </x:c>
      <x:c r="H2" t="str">
        <x:v>if proprietary media, measure externally</x:v>
      </x:c>
    </x:row>
    <x:row r="3">
      <x:c r="A3" t="str">
        <x:v>Feed4</x:v>
      </x:c>
      <x:c r="B3" t="str">
        <x:v>lot001</x:v>
      </x:c>
      <x:c r="C3" t="n">
        <x:v>1</x:v>
      </x:c>
      <x:c r="D3" t="str">
        <x:v>Glutamine</x:v>
      </x:c>
      <x:c r="E3" t="str"/>
      <x:c r="F3" t="str">
        <x:v>mM</x:v>
      </x:c>
      <x:c r="G3" t="str">
        <x:v>HPLC/BioProfile</x:v>
      </x:c>
      <x:c r="H3" t="str"/>
    </x:row>
    <x:row r="4">
      <x:c r="A4" t="str">
        <x:v>Feed4</x:v>
      </x:c>
      <x:c r="B4" t="str">
        <x:v>lot001</x:v>
      </x:c>
      <x:c r="C4" t="n">
        <x:v>1</x:v>
      </x:c>
      <x:c r="D4" t="str">
        <x:v>Leucine</x:v>
      </x:c>
      <x:c r="E4" t="str"/>
      <x:c r="F4" t="str">
        <x:v>mM</x:v>
      </x:c>
      <x:c r="G4" t="str">
        <x:v>LC-MS</x:v>
      </x:c>
      <x:c r="H4" t="str"/>
    </x:row>
    <x:row r="5">
      <x:c r="A5" t="str">
        <x:v>Feed4</x:v>
      </x:c>
      <x:c r="B5" t="str">
        <x:v>lot001</x:v>
      </x:c>
      <x:c r="C5" t="n">
        <x:v>1</x:v>
      </x:c>
      <x:c r="D5" t="str">
        <x:v>Isoleucine</x:v>
      </x:c>
      <x:c r="E5" t="str"/>
      <x:c r="F5" t="str">
        <x:v>mM</x:v>
      </x:c>
      <x:c r="G5" t="str">
        <x:v>LC-MS</x:v>
      </x:c>
      <x:c r="H5" t="str"/>
    </x:row>
    <x:row r="6">
      <x:c r="A6" t="str">
        <x:v>Feed4</x:v>
      </x:c>
      <x:c r="B6" t="str">
        <x:v>lot001</x:v>
      </x:c>
      <x:c r="C6" t="n">
        <x:v>1</x:v>
      </x:c>
      <x:c r="D6" t="str">
        <x:v>Valine</x:v>
      </x:c>
      <x:c r="E6" t="str"/>
      <x:c r="F6" t="str">
        <x:v>mM</x:v>
      </x:c>
      <x:c r="G6" t="str">
        <x:v>LC-MS</x:v>
      </x:c>
      <x:c r="H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>
      <x:c r="A1" s="100" t="str">
        <x:v>condition</x:v>
      </x:c>
      <x:c r="B1" s="100" t="str">
        <x:v>day</x:v>
      </x:c>
      <x:c r="C1" s="100" t="str">
        <x:v>time_h</x:v>
      </x:c>
      <x:c r="D1" s="100" t="str">
        <x:v>replicate</x:v>
      </x:c>
      <x:c r="E1" s="100" t="str">
        <x:v>metabolite</x:v>
      </x:c>
      <x:c r="F1" s="100" t="str">
        <x:v>concentration</x:v>
      </x:c>
      <x:c r="G1" s="100" t="str">
        <x:v>unit</x:v>
      </x:c>
      <x:c r="H1" s="100" t="str">
        <x:v>platform</x:v>
      </x:c>
      <x:c r="I1" s="100" t="str">
        <x:v>sample_type</x:v>
      </x:c>
      <x:c r="J1" s="100" t="str">
        <x:v>qc_flag</x:v>
      </x:c>
      <x:c r="K1" s="100" t="str">
        <x:v>note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n">
        <x:v>1</x:v>
      </x:c>
      <x:c r="C2" t="n">
        <x:v>24</x:v>
      </x:c>
      <x:c r="D2" t="str">
        <x:v>R1</x:v>
      </x:c>
      <x:c r="E2" t="str">
        <x:v>Glucose</x:v>
      </x:c>
      <x:c r="F2" t="str"/>
      <x:c r="G2" t="str">
        <x:v>mM</x:v>
      </x:c>
      <x:c r="H2" t="str">
        <x:v>BioProfile/LCMS</x:v>
      </x:c>
      <x:c r="I2" t="str">
        <x:v>spent_media</x:v>
      </x:c>
      <x:c r="J2" t="str">
        <x:v>OK</x:v>
      </x:c>
      <x:c r="K2" t="str"/>
    </x:row>
    <x:row r="3">
      <x:c r="A3" t="str">
        <x:v>Clone_A</x:v>
      </x:c>
      <x:c r="B3" t="n">
        <x:v>1</x:v>
      </x:c>
      <x:c r="C3" t="n">
        <x:v>24</x:v>
      </x:c>
      <x:c r="D3" t="str">
        <x:v>R1</x:v>
      </x:c>
      <x:c r="E3" t="str">
        <x:v>Lactate</x:v>
      </x:c>
      <x:c r="F3" t="str"/>
      <x:c r="G3" t="str">
        <x:v>mM</x:v>
      </x:c>
      <x:c r="H3" t="str">
        <x:v>BioProfile/LCMS</x:v>
      </x:c>
      <x:c r="I3" t="str">
        <x:v>spent_media</x:v>
      </x:c>
      <x:c r="J3" t="str">
        <x:v>OK</x:v>
      </x:c>
      <x:c r="K3" t="str"/>
    </x:row>
    <x:row r="4">
      <x:c r="A4" t="str">
        <x:v>Clone_A</x:v>
      </x:c>
      <x:c r="B4" t="n">
        <x:v>1</x:v>
      </x:c>
      <x:c r="C4" t="n">
        <x:v>24</x:v>
      </x:c>
      <x:c r="D4" t="str">
        <x:v>R1</x:v>
      </x:c>
      <x:c r="E4" t="str">
        <x:v>Glutamine</x:v>
      </x:c>
      <x:c r="F4" t="str"/>
      <x:c r="G4" t="str">
        <x:v>mM</x:v>
      </x:c>
      <x:c r="H4" t="str">
        <x:v>BioProfile/LCMS</x:v>
      </x:c>
      <x:c r="I4" t="str">
        <x:v>spent_media</x:v>
      </x:c>
      <x:c r="J4" t="str">
        <x:v>OK</x:v>
      </x:c>
      <x:c r="K4" t="str"/>
    </x:row>
    <x:row r="5">
      <x:c r="A5" t="str">
        <x:v>Clone_A</x:v>
      </x:c>
      <x:c r="B5" t="n">
        <x:v>1</x:v>
      </x:c>
      <x:c r="C5" t="n">
        <x:v>24</x:v>
      </x:c>
      <x:c r="D5" t="str">
        <x:v>R1</x:v>
      </x:c>
      <x:c r="E5" t="str">
        <x:v>Glutamate</x:v>
      </x:c>
      <x:c r="F5" t="str"/>
      <x:c r="G5" t="str">
        <x:v>mM</x:v>
      </x:c>
      <x:c r="H5" t="str">
        <x:v>BioProfile/LCMS</x:v>
      </x:c>
      <x:c r="I5" t="str">
        <x:v>spent_media</x:v>
      </x:c>
      <x:c r="J5" t="str">
        <x:v>OK</x:v>
      </x:c>
      <x:c r="K5" t="str"/>
    </x:row>
    <x:row r="6">
      <x:c r="A6" t="str">
        <x:v>Clone_A</x:v>
      </x:c>
      <x:c r="B6" t="n">
        <x:v>1</x:v>
      </x:c>
      <x:c r="C6" t="n">
        <x:v>24</x:v>
      </x:c>
      <x:c r="D6" t="str">
        <x:v>R1</x:v>
      </x:c>
      <x:c r="E6" t="str">
        <x:v>Ammonia</x:v>
      </x:c>
      <x:c r="F6" t="str"/>
      <x:c r="G6" t="str">
        <x:v>mM</x:v>
      </x:c>
      <x:c r="H6" t="str">
        <x:v>BioProfile/LCMS</x:v>
      </x:c>
      <x:c r="I6" t="str">
        <x:v>spent_media</x:v>
      </x:c>
      <x:c r="J6" t="str">
        <x:v>OK</x:v>
      </x:c>
      <x:c r="K6" t="str"/>
    </x:row>
    <x:row r="7">
      <x:c r="A7" t="str">
        <x:v>Clone_A</x:v>
      </x:c>
      <x:c r="B7" t="n">
        <x:v>1</x:v>
      </x:c>
      <x:c r="C7" t="n">
        <x:v>24</x:v>
      </x:c>
      <x:c r="D7" t="str">
        <x:v>R1</x:v>
      </x:c>
      <x:c r="E7" t="str">
        <x:v>Alanine</x:v>
      </x:c>
      <x:c r="F7" t="str"/>
      <x:c r="G7" t="str">
        <x:v>mM</x:v>
      </x:c>
      <x:c r="H7" t="str">
        <x:v>BioProfile/LCMS</x:v>
      </x:c>
      <x:c r="I7" t="str">
        <x:v>spent_media</x:v>
      </x:c>
      <x:c r="J7" t="str">
        <x:v>OK</x:v>
      </x:c>
      <x:c r="K7" t="str"/>
    </x:row>
    <x:row r="8">
      <x:c r="A8" t="str">
        <x:v>Clone_A</x:v>
      </x:c>
      <x:c r="B8" t="n">
        <x:v>1</x:v>
      </x:c>
      <x:c r="C8" t="n">
        <x:v>24</x:v>
      </x:c>
      <x:c r="D8" t="str">
        <x:v>R1</x:v>
      </x:c>
      <x:c r="E8" t="str">
        <x:v>Asparagine</x:v>
      </x:c>
      <x:c r="F8" t="str"/>
      <x:c r="G8" t="str">
        <x:v>mM</x:v>
      </x:c>
      <x:c r="H8" t="str">
        <x:v>BioProfile/LCMS</x:v>
      </x:c>
      <x:c r="I8" t="str">
        <x:v>spent_media</x:v>
      </x:c>
      <x:c r="J8" t="str">
        <x:v>OK</x:v>
      </x:c>
      <x:c r="K8" t="str"/>
    </x:row>
    <x:row r="9">
      <x:c r="A9" t="str">
        <x:v>Clone_A</x:v>
      </x:c>
      <x:c r="B9" t="n">
        <x:v>1</x:v>
      </x:c>
      <x:c r="C9" t="n">
        <x:v>24</x:v>
      </x:c>
      <x:c r="D9" t="str">
        <x:v>R1</x:v>
      </x:c>
      <x:c r="E9" t="str">
        <x:v>Aspartate</x:v>
      </x:c>
      <x:c r="F9" t="str"/>
      <x:c r="G9" t="str">
        <x:v>mM</x:v>
      </x:c>
      <x:c r="H9" t="str">
        <x:v>BioProfile/LCMS</x:v>
      </x:c>
      <x:c r="I9" t="str">
        <x:v>spent_media</x:v>
      </x:c>
      <x:c r="J9" t="str">
        <x:v>OK</x:v>
      </x:c>
      <x:c r="K9" t="str"/>
    </x:row>
    <x:row r="10">
      <x:c r="A10" t="str">
        <x:v>Clone_A</x:v>
      </x:c>
      <x:c r="B10" t="n">
        <x:v>1</x:v>
      </x:c>
      <x:c r="C10" t="n">
        <x:v>24</x:v>
      </x:c>
      <x:c r="D10" t="str">
        <x:v>R1</x:v>
      </x:c>
      <x:c r="E10" t="str">
        <x:v>Serine</x:v>
      </x:c>
      <x:c r="F10" t="str"/>
      <x:c r="G10" t="str">
        <x:v>mM</x:v>
      </x:c>
      <x:c r="H10" t="str">
        <x:v>BioProfile/LCMS</x:v>
      </x:c>
      <x:c r="I10" t="str">
        <x:v>spent_media</x:v>
      </x:c>
      <x:c r="J10" t="str">
        <x:v>OK</x:v>
      </x:c>
      <x:c r="K10" t="str"/>
    </x:row>
    <x:row r="11">
      <x:c r="A11" t="str">
        <x:v>Clone_A</x:v>
      </x:c>
      <x:c r="B11" t="n">
        <x:v>1</x:v>
      </x:c>
      <x:c r="C11" t="n">
        <x:v>24</x:v>
      </x:c>
      <x:c r="D11" t="str">
        <x:v>R1</x:v>
      </x:c>
      <x:c r="E11" t="str">
        <x:v>Glycine</x:v>
      </x:c>
      <x:c r="F11" t="str"/>
      <x:c r="G11" t="str">
        <x:v>mM</x:v>
      </x:c>
      <x:c r="H11" t="str">
        <x:v>BioProfile/LCMS</x:v>
      </x:c>
      <x:c r="I11" t="str">
        <x:v>spent_media</x:v>
      </x:c>
      <x:c r="J11" t="str">
        <x:v>OK</x:v>
      </x:c>
      <x:c r="K11" t="str"/>
    </x:row>
    <x:row r="12">
      <x:c r="A12" t="str">
        <x:v>Clone_A</x:v>
      </x:c>
      <x:c r="B12" t="n">
        <x:v>1</x:v>
      </x:c>
      <x:c r="C12" t="n">
        <x:v>24</x:v>
      </x:c>
      <x:c r="D12" t="str">
        <x:v>R1</x:v>
      </x:c>
      <x:c r="E12" t="str">
        <x:v>Proline</x:v>
      </x:c>
      <x:c r="F12" t="str"/>
      <x:c r="G12" t="str">
        <x:v>mM</x:v>
      </x:c>
      <x:c r="H12" t="str">
        <x:v>BioProfile/LCMS</x:v>
      </x:c>
      <x:c r="I12" t="str">
        <x:v>spent_media</x:v>
      </x:c>
      <x:c r="J12" t="str">
        <x:v>OK</x:v>
      </x:c>
      <x:c r="K12" t="str"/>
    </x:row>
    <x:row r="13">
      <x:c r="A13" t="str">
        <x:v>Clone_A</x:v>
      </x:c>
      <x:c r="B13" t="n">
        <x:v>1</x:v>
      </x:c>
      <x:c r="C13" t="n">
        <x:v>24</x:v>
      </x:c>
      <x:c r="D13" t="str">
        <x:v>R1</x:v>
      </x:c>
      <x:c r="E13" t="str">
        <x:v>Leucine</x:v>
      </x:c>
      <x:c r="F13" t="str"/>
      <x:c r="G13" t="str">
        <x:v>mM</x:v>
      </x:c>
      <x:c r="H13" t="str">
        <x:v>BioProfile/LCMS</x:v>
      </x:c>
      <x:c r="I13" t="str">
        <x:v>spent_media</x:v>
      </x:c>
      <x:c r="J13" t="str">
        <x:v>OK</x:v>
      </x:c>
      <x:c r="K13" t="str"/>
    </x:row>
    <x:row r="14">
      <x:c r="A14" t="str">
        <x:v>Clone_A</x:v>
      </x:c>
      <x:c r="B14" t="n">
        <x:v>1</x:v>
      </x:c>
      <x:c r="C14" t="n">
        <x:v>24</x:v>
      </x:c>
      <x:c r="D14" t="str">
        <x:v>R1</x:v>
      </x:c>
      <x:c r="E14" t="str">
        <x:v>Isoleucine</x:v>
      </x:c>
      <x:c r="F14" t="str"/>
      <x:c r="G14" t="str">
        <x:v>mM</x:v>
      </x:c>
      <x:c r="H14" t="str">
        <x:v>BioProfile/LCMS</x:v>
      </x:c>
      <x:c r="I14" t="str">
        <x:v>spent_media</x:v>
      </x:c>
      <x:c r="J14" t="str">
        <x:v>OK</x:v>
      </x:c>
      <x:c r="K14" t="str"/>
    </x:row>
    <x:row r="15">
      <x:c r="A15" t="str">
        <x:v>Clone_A</x:v>
      </x:c>
      <x:c r="B15" t="n">
        <x:v>1</x:v>
      </x:c>
      <x:c r="C15" t="n">
        <x:v>24</x:v>
      </x:c>
      <x:c r="D15" t="str">
        <x:v>R1</x:v>
      </x:c>
      <x:c r="E15" t="str">
        <x:v>Valine</x:v>
      </x:c>
      <x:c r="F15" t="str"/>
      <x:c r="G15" t="str">
        <x:v>mM</x:v>
      </x:c>
      <x:c r="H15" t="str">
        <x:v>BioProfile/LCMS</x:v>
      </x:c>
      <x:c r="I15" t="str">
        <x:v>spent_media</x:v>
      </x:c>
      <x:c r="J15" t="str">
        <x:v>OK</x:v>
      </x:c>
      <x:c r="K15" t="str"/>
    </x:row>
    <x:row r="16">
      <x:c r="A16" t="str">
        <x:v>Clone_A</x:v>
      </x:c>
      <x:c r="B16" t="n">
        <x:v>4</x:v>
      </x:c>
      <x:c r="C16" t="n">
        <x:v>96</x:v>
      </x:c>
      <x:c r="D16" t="str">
        <x:v>R1</x:v>
      </x:c>
      <x:c r="E16" t="str">
        <x:v>Glucose</x:v>
      </x:c>
      <x:c r="F16" t="str"/>
      <x:c r="G16" t="str">
        <x:v>mM</x:v>
      </x:c>
      <x:c r="H16" t="str">
        <x:v>BioProfile/LCMS</x:v>
      </x:c>
      <x:c r="I16" t="str">
        <x:v>spent_media</x:v>
      </x:c>
      <x:c r="J16" t="str">
        <x:v>OK</x:v>
      </x:c>
      <x:c r="K16" t="str"/>
    </x:row>
    <x:row r="17">
      <x:c r="A17" t="str">
        <x:v>Clone_A</x:v>
      </x:c>
      <x:c r="B17" t="n">
        <x:v>4</x:v>
      </x:c>
      <x:c r="C17" t="n">
        <x:v>96</x:v>
      </x:c>
      <x:c r="D17" t="str">
        <x:v>R1</x:v>
      </x:c>
      <x:c r="E17" t="str">
        <x:v>Lactate</x:v>
      </x:c>
      <x:c r="F17" t="str"/>
      <x:c r="G17" t="str">
        <x:v>mM</x:v>
      </x:c>
      <x:c r="H17" t="str">
        <x:v>BioProfile/LCMS</x:v>
      </x:c>
      <x:c r="I17" t="str">
        <x:v>spent_media</x:v>
      </x:c>
      <x:c r="J17" t="str">
        <x:v>OK</x:v>
      </x:c>
      <x:c r="K17" t="str"/>
    </x:row>
    <x:row r="18">
      <x:c r="A18" t="str">
        <x:v>Clone_A</x:v>
      </x:c>
      <x:c r="B18" t="n">
        <x:v>4</x:v>
      </x:c>
      <x:c r="C18" t="n">
        <x:v>96</x:v>
      </x:c>
      <x:c r="D18" t="str">
        <x:v>R1</x:v>
      </x:c>
      <x:c r="E18" t="str">
        <x:v>Glutamine</x:v>
      </x:c>
      <x:c r="F18" t="str"/>
      <x:c r="G18" t="str">
        <x:v>mM</x:v>
      </x:c>
      <x:c r="H18" t="str">
        <x:v>BioProfile/LCMS</x:v>
      </x:c>
      <x:c r="I18" t="str">
        <x:v>spent_media</x:v>
      </x:c>
      <x:c r="J18" t="str">
        <x:v>OK</x:v>
      </x:c>
      <x:c r="K18" t="str"/>
    </x:row>
    <x:row r="19">
      <x:c r="A19" t="str">
        <x:v>Clone_A</x:v>
      </x:c>
      <x:c r="B19" t="n">
        <x:v>4</x:v>
      </x:c>
      <x:c r="C19" t="n">
        <x:v>96</x:v>
      </x:c>
      <x:c r="D19" t="str">
        <x:v>R1</x:v>
      </x:c>
      <x:c r="E19" t="str">
        <x:v>Glutamate</x:v>
      </x:c>
      <x:c r="F19" t="str"/>
      <x:c r="G19" t="str">
        <x:v>mM</x:v>
      </x:c>
      <x:c r="H19" t="str">
        <x:v>BioProfile/LCMS</x:v>
      </x:c>
      <x:c r="I19" t="str">
        <x:v>spent_media</x:v>
      </x:c>
      <x:c r="J19" t="str">
        <x:v>OK</x:v>
      </x:c>
      <x:c r="K19" t="str"/>
    </x:row>
    <x:row r="20">
      <x:c r="A20" t="str">
        <x:v>Clone_A</x:v>
      </x:c>
      <x:c r="B20" t="n">
        <x:v>4</x:v>
      </x:c>
      <x:c r="C20" t="n">
        <x:v>96</x:v>
      </x:c>
      <x:c r="D20" t="str">
        <x:v>R1</x:v>
      </x:c>
      <x:c r="E20" t="str">
        <x:v>Ammonia</x:v>
      </x:c>
      <x:c r="F20" t="str"/>
      <x:c r="G20" t="str">
        <x:v>mM</x:v>
      </x:c>
      <x:c r="H20" t="str">
        <x:v>BioProfile/LCMS</x:v>
      </x:c>
      <x:c r="I20" t="str">
        <x:v>spent_media</x:v>
      </x:c>
      <x:c r="J20" t="str">
        <x:v>OK</x:v>
      </x:c>
      <x:c r="K20" t="str"/>
    </x:row>
    <x:row r="21">
      <x:c r="A21" t="str">
        <x:v>Clone_A</x:v>
      </x:c>
      <x:c r="B21" t="n">
        <x:v>4</x:v>
      </x:c>
      <x:c r="C21" t="n">
        <x:v>96</x:v>
      </x:c>
      <x:c r="D21" t="str">
        <x:v>R1</x:v>
      </x:c>
      <x:c r="E21" t="str">
        <x:v>Alanine</x:v>
      </x:c>
      <x:c r="F21" t="str"/>
      <x:c r="G21" t="str">
        <x:v>mM</x:v>
      </x:c>
      <x:c r="H21" t="str">
        <x:v>BioProfile/LCMS</x:v>
      </x:c>
      <x:c r="I21" t="str">
        <x:v>spent_media</x:v>
      </x:c>
      <x:c r="J21" t="str">
        <x:v>OK</x:v>
      </x:c>
      <x:c r="K21" t="str"/>
    </x:row>
    <x:row r="22">
      <x:c r="A22" t="str">
        <x:v>Clone_A</x:v>
      </x:c>
      <x:c r="B22" t="n">
        <x:v>4</x:v>
      </x:c>
      <x:c r="C22" t="n">
        <x:v>96</x:v>
      </x:c>
      <x:c r="D22" t="str">
        <x:v>R1</x:v>
      </x:c>
      <x:c r="E22" t="str">
        <x:v>Asparagine</x:v>
      </x:c>
      <x:c r="F22" t="str"/>
      <x:c r="G22" t="str">
        <x:v>mM</x:v>
      </x:c>
      <x:c r="H22" t="str">
        <x:v>BioProfile/LCMS</x:v>
      </x:c>
      <x:c r="I22" t="str">
        <x:v>spent_media</x:v>
      </x:c>
      <x:c r="J22" t="str">
        <x:v>OK</x:v>
      </x:c>
      <x:c r="K22" t="str"/>
    </x:row>
    <x:row r="23">
      <x:c r="A23" t="str">
        <x:v>Clone_A</x:v>
      </x:c>
      <x:c r="B23" t="n">
        <x:v>4</x:v>
      </x:c>
      <x:c r="C23" t="n">
        <x:v>96</x:v>
      </x:c>
      <x:c r="D23" t="str">
        <x:v>R1</x:v>
      </x:c>
      <x:c r="E23" t="str">
        <x:v>Aspartate</x:v>
      </x:c>
      <x:c r="F23" t="str"/>
      <x:c r="G23" t="str">
        <x:v>mM</x:v>
      </x:c>
      <x:c r="H23" t="str">
        <x:v>BioProfile/LCMS</x:v>
      </x:c>
      <x:c r="I23" t="str">
        <x:v>spent_media</x:v>
      </x:c>
      <x:c r="J23" t="str">
        <x:v>OK</x:v>
      </x:c>
      <x:c r="K23" t="str"/>
    </x:row>
    <x:row r="24">
      <x:c r="A24" t="str">
        <x:v>Clone_A</x:v>
      </x:c>
      <x:c r="B24" t="n">
        <x:v>4</x:v>
      </x:c>
      <x:c r="C24" t="n">
        <x:v>96</x:v>
      </x:c>
      <x:c r="D24" t="str">
        <x:v>R1</x:v>
      </x:c>
      <x:c r="E24" t="str">
        <x:v>Serine</x:v>
      </x:c>
      <x:c r="F24" t="str"/>
      <x:c r="G24" t="str">
        <x:v>mM</x:v>
      </x:c>
      <x:c r="H24" t="str">
        <x:v>BioProfile/LCMS</x:v>
      </x:c>
      <x:c r="I24" t="str">
        <x:v>spent_media</x:v>
      </x:c>
      <x:c r="J24" t="str">
        <x:v>OK</x:v>
      </x:c>
      <x:c r="K24" t="str"/>
    </x:row>
    <x:row r="25">
      <x:c r="A25" t="str">
        <x:v>Clone_A</x:v>
      </x:c>
      <x:c r="B25" t="n">
        <x:v>4</x:v>
      </x:c>
      <x:c r="C25" t="n">
        <x:v>96</x:v>
      </x:c>
      <x:c r="D25" t="str">
        <x:v>R1</x:v>
      </x:c>
      <x:c r="E25" t="str">
        <x:v>Glycine</x:v>
      </x:c>
      <x:c r="F25" t="str"/>
      <x:c r="G25" t="str">
        <x:v>mM</x:v>
      </x:c>
      <x:c r="H25" t="str">
        <x:v>BioProfile/LCMS</x:v>
      </x:c>
      <x:c r="I25" t="str">
        <x:v>spent_media</x:v>
      </x:c>
      <x:c r="J25" t="str">
        <x:v>OK</x:v>
      </x:c>
      <x:c r="K25" t="str"/>
    </x:row>
    <x:row r="26">
      <x:c r="A26" t="str">
        <x:v>Clone_A</x:v>
      </x:c>
      <x:c r="B26" t="n">
        <x:v>4</x:v>
      </x:c>
      <x:c r="C26" t="n">
        <x:v>96</x:v>
      </x:c>
      <x:c r="D26" t="str">
        <x:v>R1</x:v>
      </x:c>
      <x:c r="E26" t="str">
        <x:v>Proline</x:v>
      </x:c>
      <x:c r="F26" t="str"/>
      <x:c r="G26" t="str">
        <x:v>mM</x:v>
      </x:c>
      <x:c r="H26" t="str">
        <x:v>BioProfile/LCMS</x:v>
      </x:c>
      <x:c r="I26" t="str">
        <x:v>spent_media</x:v>
      </x:c>
      <x:c r="J26" t="str">
        <x:v>OK</x:v>
      </x:c>
      <x:c r="K26" t="str"/>
    </x:row>
    <x:row r="27">
      <x:c r="A27" t="str">
        <x:v>Clone_A</x:v>
      </x:c>
      <x:c r="B27" t="n">
        <x:v>4</x:v>
      </x:c>
      <x:c r="C27" t="n">
        <x:v>96</x:v>
      </x:c>
      <x:c r="D27" t="str">
        <x:v>R1</x:v>
      </x:c>
      <x:c r="E27" t="str">
        <x:v>Leucine</x:v>
      </x:c>
      <x:c r="F27" t="str"/>
      <x:c r="G27" t="str">
        <x:v>mM</x:v>
      </x:c>
      <x:c r="H27" t="str">
        <x:v>BioProfile/LCMS</x:v>
      </x:c>
      <x:c r="I27" t="str">
        <x:v>spent_media</x:v>
      </x:c>
      <x:c r="J27" t="str">
        <x:v>OK</x:v>
      </x:c>
      <x:c r="K27" t="str"/>
    </x:row>
    <x:row r="28">
      <x:c r="A28" t="str">
        <x:v>Clone_A</x:v>
      </x:c>
      <x:c r="B28" t="n">
        <x:v>4</x:v>
      </x:c>
      <x:c r="C28" t="n">
        <x:v>96</x:v>
      </x:c>
      <x:c r="D28" t="str">
        <x:v>R1</x:v>
      </x:c>
      <x:c r="E28" t="str">
        <x:v>Isoleucine</x:v>
      </x:c>
      <x:c r="F28" t="str"/>
      <x:c r="G28" t="str">
        <x:v>mM</x:v>
      </x:c>
      <x:c r="H28" t="str">
        <x:v>BioProfile/LCMS</x:v>
      </x:c>
      <x:c r="I28" t="str">
        <x:v>spent_media</x:v>
      </x:c>
      <x:c r="J28" t="str">
        <x:v>OK</x:v>
      </x:c>
      <x:c r="K28" t="str"/>
    </x:row>
    <x:row r="29">
      <x:c r="A29" t="str">
        <x:v>Clone_A</x:v>
      </x:c>
      <x:c r="B29" t="n">
        <x:v>4</x:v>
      </x:c>
      <x:c r="C29" t="n">
        <x:v>96</x:v>
      </x:c>
      <x:c r="D29" t="str">
        <x:v>R1</x:v>
      </x:c>
      <x:c r="E29" t="str">
        <x:v>Valine</x:v>
      </x:c>
      <x:c r="F29" t="str"/>
      <x:c r="G29" t="str">
        <x:v>mM</x:v>
      </x:c>
      <x:c r="H29" t="str">
        <x:v>BioProfile/LCMS</x:v>
      </x:c>
      <x:c r="I29" t="str">
        <x:v>spent_media</x:v>
      </x:c>
      <x:c r="J29" t="str">
        <x:v>OK</x:v>
      </x:c>
      <x:c r="K29" t="str"/>
    </x:row>
    <x:row r="30">
      <x:c r="A30" t="str">
        <x:v>Clone_A</x:v>
      </x:c>
      <x:c r="B30" t="n">
        <x:v>8</x:v>
      </x:c>
      <x:c r="C30" t="n">
        <x:v>192</x:v>
      </x:c>
      <x:c r="D30" t="str">
        <x:v>R1</x:v>
      </x:c>
      <x:c r="E30" t="str">
        <x:v>Glucose</x:v>
      </x:c>
      <x:c r="F30" t="str"/>
      <x:c r="G30" t="str">
        <x:v>mM</x:v>
      </x:c>
      <x:c r="H30" t="str">
        <x:v>BioProfile/LCMS</x:v>
      </x:c>
      <x:c r="I30" t="str">
        <x:v>spent_media</x:v>
      </x:c>
      <x:c r="J30" t="str">
        <x:v>OK</x:v>
      </x:c>
      <x:c r="K30" t="str"/>
    </x:row>
    <x:row r="31">
      <x:c r="A31" t="str">
        <x:v>Clone_A</x:v>
      </x:c>
      <x:c r="B31" t="n">
        <x:v>8</x:v>
      </x:c>
      <x:c r="C31" t="n">
        <x:v>192</x:v>
      </x:c>
      <x:c r="D31" t="str">
        <x:v>R1</x:v>
      </x:c>
      <x:c r="E31" t="str">
        <x:v>Lactate</x:v>
      </x:c>
      <x:c r="F31" t="str"/>
      <x:c r="G31" t="str">
        <x:v>mM</x:v>
      </x:c>
      <x:c r="H31" t="str">
        <x:v>BioProfile/LCMS</x:v>
      </x:c>
      <x:c r="I31" t="str">
        <x:v>spent_media</x:v>
      </x:c>
      <x:c r="J31" t="str">
        <x:v>OK</x:v>
      </x:c>
      <x:c r="K31" t="str"/>
    </x:row>
    <x:row r="32">
      <x:c r="A32" t="str">
        <x:v>Clone_A</x:v>
      </x:c>
      <x:c r="B32" t="n">
        <x:v>8</x:v>
      </x:c>
      <x:c r="C32" t="n">
        <x:v>192</x:v>
      </x:c>
      <x:c r="D32" t="str">
        <x:v>R1</x:v>
      </x:c>
      <x:c r="E32" t="str">
        <x:v>Glutamine</x:v>
      </x:c>
      <x:c r="F32" t="str"/>
      <x:c r="G32" t="str">
        <x:v>mM</x:v>
      </x:c>
      <x:c r="H32" t="str">
        <x:v>BioProfile/LCMS</x:v>
      </x:c>
      <x:c r="I32" t="str">
        <x:v>spent_media</x:v>
      </x:c>
      <x:c r="J32" t="str">
        <x:v>OK</x:v>
      </x:c>
      <x:c r="K32" t="str"/>
    </x:row>
    <x:row r="33">
      <x:c r="A33" t="str">
        <x:v>Clone_A</x:v>
      </x:c>
      <x:c r="B33" t="n">
        <x:v>8</x:v>
      </x:c>
      <x:c r="C33" t="n">
        <x:v>192</x:v>
      </x:c>
      <x:c r="D33" t="str">
        <x:v>R1</x:v>
      </x:c>
      <x:c r="E33" t="str">
        <x:v>Glutamate</x:v>
      </x:c>
      <x:c r="F33" t="str"/>
      <x:c r="G33" t="str">
        <x:v>mM</x:v>
      </x:c>
      <x:c r="H33" t="str">
        <x:v>BioProfile/LCMS</x:v>
      </x:c>
      <x:c r="I33" t="str">
        <x:v>spent_media</x:v>
      </x:c>
      <x:c r="J33" t="str">
        <x:v>OK</x:v>
      </x:c>
      <x:c r="K33" t="str"/>
    </x:row>
    <x:row r="34">
      <x:c r="A34" t="str">
        <x:v>Clone_A</x:v>
      </x:c>
      <x:c r="B34" t="n">
        <x:v>8</x:v>
      </x:c>
      <x:c r="C34" t="n">
        <x:v>192</x:v>
      </x:c>
      <x:c r="D34" t="str">
        <x:v>R1</x:v>
      </x:c>
      <x:c r="E34" t="str">
        <x:v>Ammonia</x:v>
      </x:c>
      <x:c r="F34" t="str"/>
      <x:c r="G34" t="str">
        <x:v>mM</x:v>
      </x:c>
      <x:c r="H34" t="str">
        <x:v>BioProfile/LCMS</x:v>
      </x:c>
      <x:c r="I34" t="str">
        <x:v>spent_media</x:v>
      </x:c>
      <x:c r="J34" t="str">
        <x:v>OK</x:v>
      </x:c>
      <x:c r="K34" t="str"/>
    </x:row>
    <x:row r="35">
      <x:c r="A35" t="str">
        <x:v>Clone_A</x:v>
      </x:c>
      <x:c r="B35" t="n">
        <x:v>8</x:v>
      </x:c>
      <x:c r="C35" t="n">
        <x:v>192</x:v>
      </x:c>
      <x:c r="D35" t="str">
        <x:v>R1</x:v>
      </x:c>
      <x:c r="E35" t="str">
        <x:v>Alanine</x:v>
      </x:c>
      <x:c r="F35" t="str"/>
      <x:c r="G35" t="str">
        <x:v>mM</x:v>
      </x:c>
      <x:c r="H35" t="str">
        <x:v>BioProfile/LCMS</x:v>
      </x:c>
      <x:c r="I35" t="str">
        <x:v>spent_media</x:v>
      </x:c>
      <x:c r="J35" t="str">
        <x:v>OK</x:v>
      </x:c>
      <x:c r="K35" t="str"/>
    </x:row>
    <x:row r="36">
      <x:c r="A36" t="str">
        <x:v>Clone_A</x:v>
      </x:c>
      <x:c r="B36" t="n">
        <x:v>8</x:v>
      </x:c>
      <x:c r="C36" t="n">
        <x:v>192</x:v>
      </x:c>
      <x:c r="D36" t="str">
        <x:v>R1</x:v>
      </x:c>
      <x:c r="E36" t="str">
        <x:v>Asparagine</x:v>
      </x:c>
      <x:c r="F36" t="str"/>
      <x:c r="G36" t="str">
        <x:v>mM</x:v>
      </x:c>
      <x:c r="H36" t="str">
        <x:v>BioProfile/LCMS</x:v>
      </x:c>
      <x:c r="I36" t="str">
        <x:v>spent_media</x:v>
      </x:c>
      <x:c r="J36" t="str">
        <x:v>OK</x:v>
      </x:c>
      <x:c r="K36" t="str"/>
    </x:row>
    <x:row r="37">
      <x:c r="A37" t="str">
        <x:v>Clone_A</x:v>
      </x:c>
      <x:c r="B37" t="n">
        <x:v>8</x:v>
      </x:c>
      <x:c r="C37" t="n">
        <x:v>192</x:v>
      </x:c>
      <x:c r="D37" t="str">
        <x:v>R1</x:v>
      </x:c>
      <x:c r="E37" t="str">
        <x:v>Aspartate</x:v>
      </x:c>
      <x:c r="F37" t="str"/>
      <x:c r="G37" t="str">
        <x:v>mM</x:v>
      </x:c>
      <x:c r="H37" t="str">
        <x:v>BioProfile/LCMS</x:v>
      </x:c>
      <x:c r="I37" t="str">
        <x:v>spent_media</x:v>
      </x:c>
      <x:c r="J37" t="str">
        <x:v>OK</x:v>
      </x:c>
      <x:c r="K37" t="str"/>
    </x:row>
    <x:row r="38">
      <x:c r="A38" t="str">
        <x:v>Clone_A</x:v>
      </x:c>
      <x:c r="B38" t="n">
        <x:v>8</x:v>
      </x:c>
      <x:c r="C38" t="n">
        <x:v>192</x:v>
      </x:c>
      <x:c r="D38" t="str">
        <x:v>R1</x:v>
      </x:c>
      <x:c r="E38" t="str">
        <x:v>Serine</x:v>
      </x:c>
      <x:c r="F38" t="str"/>
      <x:c r="G38" t="str">
        <x:v>mM</x:v>
      </x:c>
      <x:c r="H38" t="str">
        <x:v>BioProfile/LCMS</x:v>
      </x:c>
      <x:c r="I38" t="str">
        <x:v>spent_media</x:v>
      </x:c>
      <x:c r="J38" t="str">
        <x:v>OK</x:v>
      </x:c>
      <x:c r="K38" t="str"/>
    </x:row>
    <x:row r="39">
      <x:c r="A39" t="str">
        <x:v>Clone_A</x:v>
      </x:c>
      <x:c r="B39" t="n">
        <x:v>8</x:v>
      </x:c>
      <x:c r="C39" t="n">
        <x:v>192</x:v>
      </x:c>
      <x:c r="D39" t="str">
        <x:v>R1</x:v>
      </x:c>
      <x:c r="E39" t="str">
        <x:v>Glycine</x:v>
      </x:c>
      <x:c r="F39" t="str"/>
      <x:c r="G39" t="str">
        <x:v>mM</x:v>
      </x:c>
      <x:c r="H39" t="str">
        <x:v>BioProfile/LCMS</x:v>
      </x:c>
      <x:c r="I39" t="str">
        <x:v>spent_media</x:v>
      </x:c>
      <x:c r="J39" t="str">
        <x:v>OK</x:v>
      </x:c>
      <x:c r="K39" t="str"/>
    </x:row>
    <x:row r="40">
      <x:c r="A40" t="str">
        <x:v>Clone_A</x:v>
      </x:c>
      <x:c r="B40" t="n">
        <x:v>8</x:v>
      </x:c>
      <x:c r="C40" t="n">
        <x:v>192</x:v>
      </x:c>
      <x:c r="D40" t="str">
        <x:v>R1</x:v>
      </x:c>
      <x:c r="E40" t="str">
        <x:v>Proline</x:v>
      </x:c>
      <x:c r="F40" t="str"/>
      <x:c r="G40" t="str">
        <x:v>mM</x:v>
      </x:c>
      <x:c r="H40" t="str">
        <x:v>BioProfile/LCMS</x:v>
      </x:c>
      <x:c r="I40" t="str">
        <x:v>spent_media</x:v>
      </x:c>
      <x:c r="J40" t="str">
        <x:v>OK</x:v>
      </x:c>
      <x:c r="K40" t="str"/>
    </x:row>
    <x:row r="41">
      <x:c r="A41" t="str">
        <x:v>Clone_A</x:v>
      </x:c>
      <x:c r="B41" t="n">
        <x:v>8</x:v>
      </x:c>
      <x:c r="C41" t="n">
        <x:v>192</x:v>
      </x:c>
      <x:c r="D41" t="str">
        <x:v>R1</x:v>
      </x:c>
      <x:c r="E41" t="str">
        <x:v>Leucine</x:v>
      </x:c>
      <x:c r="F41" t="str"/>
      <x:c r="G41" t="str">
        <x:v>mM</x:v>
      </x:c>
      <x:c r="H41" t="str">
        <x:v>BioProfile/LCMS</x:v>
      </x:c>
      <x:c r="I41" t="str">
        <x:v>spent_media</x:v>
      </x:c>
      <x:c r="J41" t="str">
        <x:v>OK</x:v>
      </x:c>
      <x:c r="K41" t="str"/>
    </x:row>
    <x:row r="42">
      <x:c r="A42" t="str">
        <x:v>Clone_A</x:v>
      </x:c>
      <x:c r="B42" t="n">
        <x:v>8</x:v>
      </x:c>
      <x:c r="C42" t="n">
        <x:v>192</x:v>
      </x:c>
      <x:c r="D42" t="str">
        <x:v>R1</x:v>
      </x:c>
      <x:c r="E42" t="str">
        <x:v>Isoleucine</x:v>
      </x:c>
      <x:c r="F42" t="str"/>
      <x:c r="G42" t="str">
        <x:v>mM</x:v>
      </x:c>
      <x:c r="H42" t="str">
        <x:v>BioProfile/LCMS</x:v>
      </x:c>
      <x:c r="I42" t="str">
        <x:v>spent_media</x:v>
      </x:c>
      <x:c r="J42" t="str">
        <x:v>OK</x:v>
      </x:c>
      <x:c r="K42" t="str"/>
    </x:row>
    <x:row r="43">
      <x:c r="A43" t="str">
        <x:v>Clone_A</x:v>
      </x:c>
      <x:c r="B43" t="n">
        <x:v>8</x:v>
      </x:c>
      <x:c r="C43" t="n">
        <x:v>192</x:v>
      </x:c>
      <x:c r="D43" t="str">
        <x:v>R1</x:v>
      </x:c>
      <x:c r="E43" t="str">
        <x:v>Valine</x:v>
      </x:c>
      <x:c r="F43" t="str"/>
      <x:c r="G43" t="str">
        <x:v>mM</x:v>
      </x:c>
      <x:c r="H43" t="str">
        <x:v>BioProfile/LCMS</x:v>
      </x:c>
      <x:c r="I43" t="str">
        <x:v>spent_media</x:v>
      </x:c>
      <x:c r="J43" t="str">
        <x:v>OK</x:v>
      </x:c>
      <x:c r="K43" t="str"/>
    </x:row>
    <x:row r="44">
      <x:c r="A44" t="str">
        <x:v>Clone_A</x:v>
      </x:c>
      <x:c r="B44" t="n">
        <x:v>12</x:v>
      </x:c>
      <x:c r="C44" t="n">
        <x:v>288</x:v>
      </x:c>
      <x:c r="D44" t="str">
        <x:v>R1</x:v>
      </x:c>
      <x:c r="E44" t="str">
        <x:v>Glucose</x:v>
      </x:c>
      <x:c r="F44" t="str"/>
      <x:c r="G44" t="str">
        <x:v>mM</x:v>
      </x:c>
      <x:c r="H44" t="str">
        <x:v>BioProfile/LCMS</x:v>
      </x:c>
      <x:c r="I44" t="str">
        <x:v>spent_media</x:v>
      </x:c>
      <x:c r="J44" t="str">
        <x:v>OK</x:v>
      </x:c>
      <x:c r="K44" t="str"/>
    </x:row>
    <x:row r="45">
      <x:c r="A45" t="str">
        <x:v>Clone_A</x:v>
      </x:c>
      <x:c r="B45" t="n">
        <x:v>12</x:v>
      </x:c>
      <x:c r="C45" t="n">
        <x:v>288</x:v>
      </x:c>
      <x:c r="D45" t="str">
        <x:v>R1</x:v>
      </x:c>
      <x:c r="E45" t="str">
        <x:v>Lactate</x:v>
      </x:c>
      <x:c r="F45" t="str"/>
      <x:c r="G45" t="str">
        <x:v>mM</x:v>
      </x:c>
      <x:c r="H45" t="str">
        <x:v>BioProfile/LCMS</x:v>
      </x:c>
      <x:c r="I45" t="str">
        <x:v>spent_media</x:v>
      </x:c>
      <x:c r="J45" t="str">
        <x:v>OK</x:v>
      </x:c>
      <x:c r="K45" t="str"/>
    </x:row>
    <x:row r="46">
      <x:c r="A46" t="str">
        <x:v>Clone_A</x:v>
      </x:c>
      <x:c r="B46" t="n">
        <x:v>12</x:v>
      </x:c>
      <x:c r="C46" t="n">
        <x:v>288</x:v>
      </x:c>
      <x:c r="D46" t="str">
        <x:v>R1</x:v>
      </x:c>
      <x:c r="E46" t="str">
        <x:v>Glutamine</x:v>
      </x:c>
      <x:c r="F46" t="str"/>
      <x:c r="G46" t="str">
        <x:v>mM</x:v>
      </x:c>
      <x:c r="H46" t="str">
        <x:v>BioProfile/LCMS</x:v>
      </x:c>
      <x:c r="I46" t="str">
        <x:v>spent_media</x:v>
      </x:c>
      <x:c r="J46" t="str">
        <x:v>OK</x:v>
      </x:c>
      <x:c r="K46" t="str"/>
    </x:row>
    <x:row r="47">
      <x:c r="A47" t="str">
        <x:v>Clone_A</x:v>
      </x:c>
      <x:c r="B47" t="n">
        <x:v>12</x:v>
      </x:c>
      <x:c r="C47" t="n">
        <x:v>288</x:v>
      </x:c>
      <x:c r="D47" t="str">
        <x:v>R1</x:v>
      </x:c>
      <x:c r="E47" t="str">
        <x:v>Glutamate</x:v>
      </x:c>
      <x:c r="F47" t="str"/>
      <x:c r="G47" t="str">
        <x:v>mM</x:v>
      </x:c>
      <x:c r="H47" t="str">
        <x:v>BioProfile/LCMS</x:v>
      </x:c>
      <x:c r="I47" t="str">
        <x:v>spent_media</x:v>
      </x:c>
      <x:c r="J47" t="str">
        <x:v>OK</x:v>
      </x:c>
      <x:c r="K47" t="str"/>
    </x:row>
    <x:row r="48">
      <x:c r="A48" t="str">
        <x:v>Clone_A</x:v>
      </x:c>
      <x:c r="B48" t="n">
        <x:v>12</x:v>
      </x:c>
      <x:c r="C48" t="n">
        <x:v>288</x:v>
      </x:c>
      <x:c r="D48" t="str">
        <x:v>R1</x:v>
      </x:c>
      <x:c r="E48" t="str">
        <x:v>Ammonia</x:v>
      </x:c>
      <x:c r="F48" t="str"/>
      <x:c r="G48" t="str">
        <x:v>mM</x:v>
      </x:c>
      <x:c r="H48" t="str">
        <x:v>BioProfile/LCMS</x:v>
      </x:c>
      <x:c r="I48" t="str">
        <x:v>spent_media</x:v>
      </x:c>
      <x:c r="J48" t="str">
        <x:v>OK</x:v>
      </x:c>
      <x:c r="K48" t="str"/>
    </x:row>
    <x:row r="49">
      <x:c r="A49" t="str">
        <x:v>Clone_A</x:v>
      </x:c>
      <x:c r="B49" t="n">
        <x:v>12</x:v>
      </x:c>
      <x:c r="C49" t="n">
        <x:v>288</x:v>
      </x:c>
      <x:c r="D49" t="str">
        <x:v>R1</x:v>
      </x:c>
      <x:c r="E49" t="str">
        <x:v>Alanine</x:v>
      </x:c>
      <x:c r="F49" t="str"/>
      <x:c r="G49" t="str">
        <x:v>mM</x:v>
      </x:c>
      <x:c r="H49" t="str">
        <x:v>BioProfile/LCMS</x:v>
      </x:c>
      <x:c r="I49" t="str">
        <x:v>spent_media</x:v>
      </x:c>
      <x:c r="J49" t="str">
        <x:v>OK</x:v>
      </x:c>
      <x:c r="K49" t="str"/>
    </x:row>
    <x:row r="50">
      <x:c r="A50" t="str">
        <x:v>Clone_A</x:v>
      </x:c>
      <x:c r="B50" t="n">
        <x:v>12</x:v>
      </x:c>
      <x:c r="C50" t="n">
        <x:v>288</x:v>
      </x:c>
      <x:c r="D50" t="str">
        <x:v>R1</x:v>
      </x:c>
      <x:c r="E50" t="str">
        <x:v>Asparagine</x:v>
      </x:c>
      <x:c r="F50" t="str"/>
      <x:c r="G50" t="str">
        <x:v>mM</x:v>
      </x:c>
      <x:c r="H50" t="str">
        <x:v>BioProfile/LCMS</x:v>
      </x:c>
      <x:c r="I50" t="str">
        <x:v>spent_media</x:v>
      </x:c>
      <x:c r="J50" t="str">
        <x:v>OK</x:v>
      </x:c>
      <x:c r="K50" t="str"/>
    </x:row>
    <x:row r="51">
      <x:c r="A51" t="str">
        <x:v>Clone_A</x:v>
      </x:c>
      <x:c r="B51" t="n">
        <x:v>12</x:v>
      </x:c>
      <x:c r="C51" t="n">
        <x:v>288</x:v>
      </x:c>
      <x:c r="D51" t="str">
        <x:v>R1</x:v>
      </x:c>
      <x:c r="E51" t="str">
        <x:v>Aspartate</x:v>
      </x:c>
      <x:c r="F51" t="str"/>
      <x:c r="G51" t="str">
        <x:v>mM</x:v>
      </x:c>
      <x:c r="H51" t="str">
        <x:v>BioProfile/LCMS</x:v>
      </x:c>
      <x:c r="I51" t="str">
        <x:v>spent_media</x:v>
      </x:c>
      <x:c r="J51" t="str">
        <x:v>OK</x:v>
      </x:c>
      <x:c r="K51" t="str"/>
    </x:row>
    <x:row r="52">
      <x:c r="A52" t="str">
        <x:v>Clone_A</x:v>
      </x:c>
      <x:c r="B52" t="n">
        <x:v>12</x:v>
      </x:c>
      <x:c r="C52" t="n">
        <x:v>288</x:v>
      </x:c>
      <x:c r="D52" t="str">
        <x:v>R1</x:v>
      </x:c>
      <x:c r="E52" t="str">
        <x:v>Serine</x:v>
      </x:c>
      <x:c r="F52" t="str"/>
      <x:c r="G52" t="str">
        <x:v>mM</x:v>
      </x:c>
      <x:c r="H52" t="str">
        <x:v>BioProfile/LCMS</x:v>
      </x:c>
      <x:c r="I52" t="str">
        <x:v>spent_media</x:v>
      </x:c>
      <x:c r="J52" t="str">
        <x:v>OK</x:v>
      </x:c>
      <x:c r="K52" t="str"/>
    </x:row>
    <x:row r="53">
      <x:c r="A53" t="str">
        <x:v>Clone_A</x:v>
      </x:c>
      <x:c r="B53" t="n">
        <x:v>12</x:v>
      </x:c>
      <x:c r="C53" t="n">
        <x:v>288</x:v>
      </x:c>
      <x:c r="D53" t="str">
        <x:v>R1</x:v>
      </x:c>
      <x:c r="E53" t="str">
        <x:v>Glycine</x:v>
      </x:c>
      <x:c r="F53" t="str"/>
      <x:c r="G53" t="str">
        <x:v>mM</x:v>
      </x:c>
      <x:c r="H53" t="str">
        <x:v>BioProfile/LCMS</x:v>
      </x:c>
      <x:c r="I53" t="str">
        <x:v>spent_media</x:v>
      </x:c>
      <x:c r="J53" t="str">
        <x:v>OK</x:v>
      </x:c>
      <x:c r="K53" t="str"/>
    </x:row>
    <x:row r="54">
      <x:c r="A54" t="str">
        <x:v>Clone_A</x:v>
      </x:c>
      <x:c r="B54" t="n">
        <x:v>12</x:v>
      </x:c>
      <x:c r="C54" t="n">
        <x:v>288</x:v>
      </x:c>
      <x:c r="D54" t="str">
        <x:v>R1</x:v>
      </x:c>
      <x:c r="E54" t="str">
        <x:v>Proline</x:v>
      </x:c>
      <x:c r="F54" t="str"/>
      <x:c r="G54" t="str">
        <x:v>mM</x:v>
      </x:c>
      <x:c r="H54" t="str">
        <x:v>BioProfile/LCMS</x:v>
      </x:c>
      <x:c r="I54" t="str">
        <x:v>spent_media</x:v>
      </x:c>
      <x:c r="J54" t="str">
        <x:v>OK</x:v>
      </x:c>
      <x:c r="K54" t="str"/>
    </x:row>
    <x:row r="55">
      <x:c r="A55" t="str">
        <x:v>Clone_A</x:v>
      </x:c>
      <x:c r="B55" t="n">
        <x:v>12</x:v>
      </x:c>
      <x:c r="C55" t="n">
        <x:v>288</x:v>
      </x:c>
      <x:c r="D55" t="str">
        <x:v>R1</x:v>
      </x:c>
      <x:c r="E55" t="str">
        <x:v>Leucine</x:v>
      </x:c>
      <x:c r="F55" t="str"/>
      <x:c r="G55" t="str">
        <x:v>mM</x:v>
      </x:c>
      <x:c r="H55" t="str">
        <x:v>BioProfile/LCMS</x:v>
      </x:c>
      <x:c r="I55" t="str">
        <x:v>spent_media</x:v>
      </x:c>
      <x:c r="J55" t="str">
        <x:v>OK</x:v>
      </x:c>
      <x:c r="K55" t="str"/>
    </x:row>
    <x:row r="56">
      <x:c r="A56" t="str">
        <x:v>Clone_A</x:v>
      </x:c>
      <x:c r="B56" t="n">
        <x:v>12</x:v>
      </x:c>
      <x:c r="C56" t="n">
        <x:v>288</x:v>
      </x:c>
      <x:c r="D56" t="str">
        <x:v>R1</x:v>
      </x:c>
      <x:c r="E56" t="str">
        <x:v>Isoleucine</x:v>
      </x:c>
      <x:c r="F56" t="str"/>
      <x:c r="G56" t="str">
        <x:v>mM</x:v>
      </x:c>
      <x:c r="H56" t="str">
        <x:v>BioProfile/LCMS</x:v>
      </x:c>
      <x:c r="I56" t="str">
        <x:v>spent_media</x:v>
      </x:c>
      <x:c r="J56" t="str">
        <x:v>OK</x:v>
      </x:c>
      <x:c r="K56" t="str"/>
    </x:row>
    <x:row r="57">
      <x:c r="A57" t="str">
        <x:v>Clone_A</x:v>
      </x:c>
      <x:c r="B57" t="n">
        <x:v>12</x:v>
      </x:c>
      <x:c r="C57" t="n">
        <x:v>288</x:v>
      </x:c>
      <x:c r="D57" t="str">
        <x:v>R1</x:v>
      </x:c>
      <x:c r="E57" t="str">
        <x:v>Valine</x:v>
      </x:c>
      <x:c r="F57" t="str"/>
      <x:c r="G57" t="str">
        <x:v>mM</x:v>
      </x:c>
      <x:c r="H57" t="str">
        <x:v>BioProfile/LCMS</x:v>
      </x:c>
      <x:c r="I57" t="str">
        <x:v>spent_media</x:v>
      </x:c>
      <x:c r="J57" t="str">
        <x:v>OK</x:v>
      </x:c>
      <x:c r="K57" t="str"/>
    </x:row>
    <x:row r="58">
      <x:c r="A58" t="str">
        <x:v>Clone_B</x:v>
      </x:c>
      <x:c r="B58" t="n">
        <x:v>1</x:v>
      </x:c>
      <x:c r="C58" t="n">
        <x:v>24</x:v>
      </x:c>
      <x:c r="D58" t="str">
        <x:v>R1</x:v>
      </x:c>
      <x:c r="E58" t="str">
        <x:v>Glucose</x:v>
      </x:c>
      <x:c r="F58" t="str"/>
      <x:c r="G58" t="str">
        <x:v>mM</x:v>
      </x:c>
      <x:c r="H58" t="str">
        <x:v>BioProfile/LCMS</x:v>
      </x:c>
      <x:c r="I58" t="str">
        <x:v>spent_media</x:v>
      </x:c>
      <x:c r="J58" t="str">
        <x:v>OK</x:v>
      </x:c>
      <x:c r="K58" t="str"/>
    </x:row>
    <x:row r="59">
      <x:c r="A59" t="str">
        <x:v>Clone_B</x:v>
      </x:c>
      <x:c r="B59" t="n">
        <x:v>1</x:v>
      </x:c>
      <x:c r="C59" t="n">
        <x:v>24</x:v>
      </x:c>
      <x:c r="D59" t="str">
        <x:v>R1</x:v>
      </x:c>
      <x:c r="E59" t="str">
        <x:v>Lactate</x:v>
      </x:c>
      <x:c r="F59" t="str"/>
      <x:c r="G59" t="str">
        <x:v>mM</x:v>
      </x:c>
      <x:c r="H59" t="str">
        <x:v>BioProfile/LCMS</x:v>
      </x:c>
      <x:c r="I59" t="str">
        <x:v>spent_media</x:v>
      </x:c>
      <x:c r="J59" t="str">
        <x:v>OK</x:v>
      </x:c>
      <x:c r="K59" t="str"/>
    </x:row>
    <x:row r="60">
      <x:c r="A60" t="str">
        <x:v>Clone_B</x:v>
      </x:c>
      <x:c r="B60" t="n">
        <x:v>1</x:v>
      </x:c>
      <x:c r="C60" t="n">
        <x:v>24</x:v>
      </x:c>
      <x:c r="D60" t="str">
        <x:v>R1</x:v>
      </x:c>
      <x:c r="E60" t="str">
        <x:v>Glutamine</x:v>
      </x:c>
      <x:c r="F60" t="str"/>
      <x:c r="G60" t="str">
        <x:v>mM</x:v>
      </x:c>
      <x:c r="H60" t="str">
        <x:v>BioProfile/LCMS</x:v>
      </x:c>
      <x:c r="I60" t="str">
        <x:v>spent_media</x:v>
      </x:c>
      <x:c r="J60" t="str">
        <x:v>OK</x:v>
      </x:c>
      <x:c r="K60" t="str"/>
    </x:row>
    <x:row r="61">
      <x:c r="A61" t="str">
        <x:v>Clone_B</x:v>
      </x:c>
      <x:c r="B61" t="n">
        <x:v>1</x:v>
      </x:c>
      <x:c r="C61" t="n">
        <x:v>24</x:v>
      </x:c>
      <x:c r="D61" t="str">
        <x:v>R1</x:v>
      </x:c>
      <x:c r="E61" t="str">
        <x:v>Glutamate</x:v>
      </x:c>
      <x:c r="F61" t="str"/>
      <x:c r="G61" t="str">
        <x:v>mM</x:v>
      </x:c>
      <x:c r="H61" t="str">
        <x:v>BioProfile/LCMS</x:v>
      </x:c>
      <x:c r="I61" t="str">
        <x:v>spent_media</x:v>
      </x:c>
      <x:c r="J61" t="str">
        <x:v>OK</x:v>
      </x:c>
      <x:c r="K61" t="str"/>
    </x:row>
    <x:row r="62">
      <x:c r="A62" t="str">
        <x:v>Clone_B</x:v>
      </x:c>
      <x:c r="B62" t="n">
        <x:v>1</x:v>
      </x:c>
      <x:c r="C62" t="n">
        <x:v>24</x:v>
      </x:c>
      <x:c r="D62" t="str">
        <x:v>R1</x:v>
      </x:c>
      <x:c r="E62" t="str">
        <x:v>Ammonia</x:v>
      </x:c>
      <x:c r="F62" t="str"/>
      <x:c r="G62" t="str">
        <x:v>mM</x:v>
      </x:c>
      <x:c r="H62" t="str">
        <x:v>BioProfile/LCMS</x:v>
      </x:c>
      <x:c r="I62" t="str">
        <x:v>spent_media</x:v>
      </x:c>
      <x:c r="J62" t="str">
        <x:v>OK</x:v>
      </x:c>
      <x:c r="K62" t="str"/>
    </x:row>
    <x:row r="63">
      <x:c r="A63" t="str">
        <x:v>Clone_B</x:v>
      </x:c>
      <x:c r="B63" t="n">
        <x:v>1</x:v>
      </x:c>
      <x:c r="C63" t="n">
        <x:v>24</x:v>
      </x:c>
      <x:c r="D63" t="str">
        <x:v>R1</x:v>
      </x:c>
      <x:c r="E63" t="str">
        <x:v>Alanine</x:v>
      </x:c>
      <x:c r="F63" t="str"/>
      <x:c r="G63" t="str">
        <x:v>mM</x:v>
      </x:c>
      <x:c r="H63" t="str">
        <x:v>BioProfile/LCMS</x:v>
      </x:c>
      <x:c r="I63" t="str">
        <x:v>spent_media</x:v>
      </x:c>
      <x:c r="J63" t="str">
        <x:v>OK</x:v>
      </x:c>
      <x:c r="K63" t="str"/>
    </x:row>
    <x:row r="64">
      <x:c r="A64" t="str">
        <x:v>Clone_B</x:v>
      </x:c>
      <x:c r="B64" t="n">
        <x:v>1</x:v>
      </x:c>
      <x:c r="C64" t="n">
        <x:v>24</x:v>
      </x:c>
      <x:c r="D64" t="str">
        <x:v>R1</x:v>
      </x:c>
      <x:c r="E64" t="str">
        <x:v>Asparagine</x:v>
      </x:c>
      <x:c r="F64" t="str"/>
      <x:c r="G64" t="str">
        <x:v>mM</x:v>
      </x:c>
      <x:c r="H64" t="str">
        <x:v>BioProfile/LCMS</x:v>
      </x:c>
      <x:c r="I64" t="str">
        <x:v>spent_media</x:v>
      </x:c>
      <x:c r="J64" t="str">
        <x:v>OK</x:v>
      </x:c>
      <x:c r="K64" t="str"/>
    </x:row>
    <x:row r="65">
      <x:c r="A65" t="str">
        <x:v>Clone_B</x:v>
      </x:c>
      <x:c r="B65" t="n">
        <x:v>1</x:v>
      </x:c>
      <x:c r="C65" t="n">
        <x:v>24</x:v>
      </x:c>
      <x:c r="D65" t="str">
        <x:v>R1</x:v>
      </x:c>
      <x:c r="E65" t="str">
        <x:v>Aspartate</x:v>
      </x:c>
      <x:c r="F65" t="str"/>
      <x:c r="G65" t="str">
        <x:v>mM</x:v>
      </x:c>
      <x:c r="H65" t="str">
        <x:v>BioProfile/LCMS</x:v>
      </x:c>
      <x:c r="I65" t="str">
        <x:v>spent_media</x:v>
      </x:c>
      <x:c r="J65" t="str">
        <x:v>OK</x:v>
      </x:c>
      <x:c r="K65" t="str"/>
    </x:row>
    <x:row r="66">
      <x:c r="A66" t="str">
        <x:v>Clone_B</x:v>
      </x:c>
      <x:c r="B66" t="n">
        <x:v>1</x:v>
      </x:c>
      <x:c r="C66" t="n">
        <x:v>24</x:v>
      </x:c>
      <x:c r="D66" t="str">
        <x:v>R1</x:v>
      </x:c>
      <x:c r="E66" t="str">
        <x:v>Serine</x:v>
      </x:c>
      <x:c r="F66" t="str"/>
      <x:c r="G66" t="str">
        <x:v>mM</x:v>
      </x:c>
      <x:c r="H66" t="str">
        <x:v>BioProfile/LCMS</x:v>
      </x:c>
      <x:c r="I66" t="str">
        <x:v>spent_media</x:v>
      </x:c>
      <x:c r="J66" t="str">
        <x:v>OK</x:v>
      </x:c>
      <x:c r="K66" t="str"/>
    </x:row>
    <x:row r="67">
      <x:c r="A67" t="str">
        <x:v>Clone_B</x:v>
      </x:c>
      <x:c r="B67" t="n">
        <x:v>1</x:v>
      </x:c>
      <x:c r="C67" t="n">
        <x:v>24</x:v>
      </x:c>
      <x:c r="D67" t="str">
        <x:v>R1</x:v>
      </x:c>
      <x:c r="E67" t="str">
        <x:v>Glycine</x:v>
      </x:c>
      <x:c r="F67" t="str"/>
      <x:c r="G67" t="str">
        <x:v>mM</x:v>
      </x:c>
      <x:c r="H67" t="str">
        <x:v>BioProfile/LCMS</x:v>
      </x:c>
      <x:c r="I67" t="str">
        <x:v>spent_media</x:v>
      </x:c>
      <x:c r="J67" t="str">
        <x:v>OK</x:v>
      </x:c>
      <x:c r="K67" t="str"/>
    </x:row>
    <x:row r="68">
      <x:c r="A68" t="str">
        <x:v>Clone_B</x:v>
      </x:c>
      <x:c r="B68" t="n">
        <x:v>1</x:v>
      </x:c>
      <x:c r="C68" t="n">
        <x:v>24</x:v>
      </x:c>
      <x:c r="D68" t="str">
        <x:v>R1</x:v>
      </x:c>
      <x:c r="E68" t="str">
        <x:v>Proline</x:v>
      </x:c>
      <x:c r="F68" t="str"/>
      <x:c r="G68" t="str">
        <x:v>mM</x:v>
      </x:c>
      <x:c r="H68" t="str">
        <x:v>BioProfile/LCMS</x:v>
      </x:c>
      <x:c r="I68" t="str">
        <x:v>spent_media</x:v>
      </x:c>
      <x:c r="J68" t="str">
        <x:v>OK</x:v>
      </x:c>
      <x:c r="K68" t="str"/>
    </x:row>
    <x:row r="69">
      <x:c r="A69" t="str">
        <x:v>Clone_B</x:v>
      </x:c>
      <x:c r="B69" t="n">
        <x:v>1</x:v>
      </x:c>
      <x:c r="C69" t="n">
        <x:v>24</x:v>
      </x:c>
      <x:c r="D69" t="str">
        <x:v>R1</x:v>
      </x:c>
      <x:c r="E69" t="str">
        <x:v>Leucine</x:v>
      </x:c>
      <x:c r="F69" t="str"/>
      <x:c r="G69" t="str">
        <x:v>mM</x:v>
      </x:c>
      <x:c r="H69" t="str">
        <x:v>BioProfile/LCMS</x:v>
      </x:c>
      <x:c r="I69" t="str">
        <x:v>spent_media</x:v>
      </x:c>
      <x:c r="J69" t="str">
        <x:v>OK</x:v>
      </x:c>
      <x:c r="K69" t="str"/>
    </x:row>
    <x:row r="70">
      <x:c r="A70" t="str">
        <x:v>Clone_B</x:v>
      </x:c>
      <x:c r="B70" t="n">
        <x:v>1</x:v>
      </x:c>
      <x:c r="C70" t="n">
        <x:v>24</x:v>
      </x:c>
      <x:c r="D70" t="str">
        <x:v>R1</x:v>
      </x:c>
      <x:c r="E70" t="str">
        <x:v>Isoleucine</x:v>
      </x:c>
      <x:c r="F70" t="str"/>
      <x:c r="G70" t="str">
        <x:v>mM</x:v>
      </x:c>
      <x:c r="H70" t="str">
        <x:v>BioProfile/LCMS</x:v>
      </x:c>
      <x:c r="I70" t="str">
        <x:v>spent_media</x:v>
      </x:c>
      <x:c r="J70" t="str">
        <x:v>OK</x:v>
      </x:c>
      <x:c r="K70" t="str"/>
    </x:row>
    <x:row r="71">
      <x:c r="A71" t="str">
        <x:v>Clone_B</x:v>
      </x:c>
      <x:c r="B71" t="n">
        <x:v>1</x:v>
      </x:c>
      <x:c r="C71" t="n">
        <x:v>24</x:v>
      </x:c>
      <x:c r="D71" t="str">
        <x:v>R1</x:v>
      </x:c>
      <x:c r="E71" t="str">
        <x:v>Valine</x:v>
      </x:c>
      <x:c r="F71" t="str"/>
      <x:c r="G71" t="str">
        <x:v>mM</x:v>
      </x:c>
      <x:c r="H71" t="str">
        <x:v>BioProfile/LCMS</x:v>
      </x:c>
      <x:c r="I71" t="str">
        <x:v>spent_media</x:v>
      </x:c>
      <x:c r="J71" t="str">
        <x:v>OK</x:v>
      </x:c>
      <x:c r="K71" t="str"/>
    </x:row>
    <x:row r="72">
      <x:c r="A72" t="str">
        <x:v>Clone_B</x:v>
      </x:c>
      <x:c r="B72" t="n">
        <x:v>4</x:v>
      </x:c>
      <x:c r="C72" t="n">
        <x:v>96</x:v>
      </x:c>
      <x:c r="D72" t="str">
        <x:v>R1</x:v>
      </x:c>
      <x:c r="E72" t="str">
        <x:v>Glucose</x:v>
      </x:c>
      <x:c r="F72" t="str"/>
      <x:c r="G72" t="str">
        <x:v>mM</x:v>
      </x:c>
      <x:c r="H72" t="str">
        <x:v>BioProfile/LCMS</x:v>
      </x:c>
      <x:c r="I72" t="str">
        <x:v>spent_media</x:v>
      </x:c>
      <x:c r="J72" t="str">
        <x:v>OK</x:v>
      </x:c>
      <x:c r="K72" t="str"/>
    </x:row>
    <x:row r="73">
      <x:c r="A73" t="str">
        <x:v>Clone_B</x:v>
      </x:c>
      <x:c r="B73" t="n">
        <x:v>4</x:v>
      </x:c>
      <x:c r="C73" t="n">
        <x:v>96</x:v>
      </x:c>
      <x:c r="D73" t="str">
        <x:v>R1</x:v>
      </x:c>
      <x:c r="E73" t="str">
        <x:v>Lactate</x:v>
      </x:c>
      <x:c r="F73" t="str"/>
      <x:c r="G73" t="str">
        <x:v>mM</x:v>
      </x:c>
      <x:c r="H73" t="str">
        <x:v>BioProfile/LCMS</x:v>
      </x:c>
      <x:c r="I73" t="str">
        <x:v>spent_media</x:v>
      </x:c>
      <x:c r="J73" t="str">
        <x:v>OK</x:v>
      </x:c>
      <x:c r="K73" t="str"/>
    </x:row>
    <x:row r="74">
      <x:c r="A74" t="str">
        <x:v>Clone_B</x:v>
      </x:c>
      <x:c r="B74" t="n">
        <x:v>4</x:v>
      </x:c>
      <x:c r="C74" t="n">
        <x:v>96</x:v>
      </x:c>
      <x:c r="D74" t="str">
        <x:v>R1</x:v>
      </x:c>
      <x:c r="E74" t="str">
        <x:v>Glutamine</x:v>
      </x:c>
      <x:c r="F74" t="str"/>
      <x:c r="G74" t="str">
        <x:v>mM</x:v>
      </x:c>
      <x:c r="H74" t="str">
        <x:v>BioProfile/LCMS</x:v>
      </x:c>
      <x:c r="I74" t="str">
        <x:v>spent_media</x:v>
      </x:c>
      <x:c r="J74" t="str">
        <x:v>OK</x:v>
      </x:c>
      <x:c r="K74" t="str"/>
    </x:row>
    <x:row r="75">
      <x:c r="A75" t="str">
        <x:v>Clone_B</x:v>
      </x:c>
      <x:c r="B75" t="n">
        <x:v>4</x:v>
      </x:c>
      <x:c r="C75" t="n">
        <x:v>96</x:v>
      </x:c>
      <x:c r="D75" t="str">
        <x:v>R1</x:v>
      </x:c>
      <x:c r="E75" t="str">
        <x:v>Glutamate</x:v>
      </x:c>
      <x:c r="F75" t="str"/>
      <x:c r="G75" t="str">
        <x:v>mM</x:v>
      </x:c>
      <x:c r="H75" t="str">
        <x:v>BioProfile/LCMS</x:v>
      </x:c>
      <x:c r="I75" t="str">
        <x:v>spent_media</x:v>
      </x:c>
      <x:c r="J75" t="str">
        <x:v>OK</x:v>
      </x:c>
      <x:c r="K75" t="str"/>
    </x:row>
    <x:row r="76">
      <x:c r="A76" t="str">
        <x:v>Clone_B</x:v>
      </x:c>
      <x:c r="B76" t="n">
        <x:v>4</x:v>
      </x:c>
      <x:c r="C76" t="n">
        <x:v>96</x:v>
      </x:c>
      <x:c r="D76" t="str">
        <x:v>R1</x:v>
      </x:c>
      <x:c r="E76" t="str">
        <x:v>Ammonia</x:v>
      </x:c>
      <x:c r="F76" t="str"/>
      <x:c r="G76" t="str">
        <x:v>mM</x:v>
      </x:c>
      <x:c r="H76" t="str">
        <x:v>BioProfile/LCMS</x:v>
      </x:c>
      <x:c r="I76" t="str">
        <x:v>spent_media</x:v>
      </x:c>
      <x:c r="J76" t="str">
        <x:v>OK</x:v>
      </x:c>
      <x:c r="K76" t="str"/>
    </x:row>
    <x:row r="77">
      <x:c r="A77" t="str">
        <x:v>Clone_B</x:v>
      </x:c>
      <x:c r="B77" t="n">
        <x:v>4</x:v>
      </x:c>
      <x:c r="C77" t="n">
        <x:v>96</x:v>
      </x:c>
      <x:c r="D77" t="str">
        <x:v>R1</x:v>
      </x:c>
      <x:c r="E77" t="str">
        <x:v>Alanine</x:v>
      </x:c>
      <x:c r="F77" t="str"/>
      <x:c r="G77" t="str">
        <x:v>mM</x:v>
      </x:c>
      <x:c r="H77" t="str">
        <x:v>BioProfile/LCMS</x:v>
      </x:c>
      <x:c r="I77" t="str">
        <x:v>spent_media</x:v>
      </x:c>
      <x:c r="J77" t="str">
        <x:v>OK</x:v>
      </x:c>
      <x:c r="K77" t="str"/>
    </x:row>
    <x:row r="78">
      <x:c r="A78" t="str">
        <x:v>Clone_B</x:v>
      </x:c>
      <x:c r="B78" t="n">
        <x:v>4</x:v>
      </x:c>
      <x:c r="C78" t="n">
        <x:v>96</x:v>
      </x:c>
      <x:c r="D78" t="str">
        <x:v>R1</x:v>
      </x:c>
      <x:c r="E78" t="str">
        <x:v>Asparagine</x:v>
      </x:c>
      <x:c r="F78" t="str"/>
      <x:c r="G78" t="str">
        <x:v>mM</x:v>
      </x:c>
      <x:c r="H78" t="str">
        <x:v>BioProfile/LCMS</x:v>
      </x:c>
      <x:c r="I78" t="str">
        <x:v>spent_media</x:v>
      </x:c>
      <x:c r="J78" t="str">
        <x:v>OK</x:v>
      </x:c>
      <x:c r="K78" t="str"/>
    </x:row>
    <x:row r="79">
      <x:c r="A79" t="str">
        <x:v>Clone_B</x:v>
      </x:c>
      <x:c r="B79" t="n">
        <x:v>4</x:v>
      </x:c>
      <x:c r="C79" t="n">
        <x:v>96</x:v>
      </x:c>
      <x:c r="D79" t="str">
        <x:v>R1</x:v>
      </x:c>
      <x:c r="E79" t="str">
        <x:v>Aspartate</x:v>
      </x:c>
      <x:c r="F79" t="str"/>
      <x:c r="G79" t="str">
        <x:v>mM</x:v>
      </x:c>
      <x:c r="H79" t="str">
        <x:v>BioProfile/LCMS</x:v>
      </x:c>
      <x:c r="I79" t="str">
        <x:v>spent_media</x:v>
      </x:c>
      <x:c r="J79" t="str">
        <x:v>OK</x:v>
      </x:c>
      <x:c r="K79" t="str"/>
    </x:row>
    <x:row r="80">
      <x:c r="A80" t="str">
        <x:v>Clone_B</x:v>
      </x:c>
      <x:c r="B80" t="n">
        <x:v>4</x:v>
      </x:c>
      <x:c r="C80" t="n">
        <x:v>96</x:v>
      </x:c>
      <x:c r="D80" t="str">
        <x:v>R1</x:v>
      </x:c>
      <x:c r="E80" t="str">
        <x:v>Serine</x:v>
      </x:c>
      <x:c r="F80" t="str"/>
      <x:c r="G80" t="str">
        <x:v>mM</x:v>
      </x:c>
      <x:c r="H80" t="str">
        <x:v>BioProfile/LCMS</x:v>
      </x:c>
      <x:c r="I80" t="str">
        <x:v>spent_media</x:v>
      </x:c>
      <x:c r="J80" t="str">
        <x:v>OK</x:v>
      </x:c>
      <x:c r="K80" t="str"/>
    </x:row>
    <x:row r="81">
      <x:c r="A81" t="str">
        <x:v>Clone_B</x:v>
      </x:c>
      <x:c r="B81" t="n">
        <x:v>4</x:v>
      </x:c>
      <x:c r="C81" t="n">
        <x:v>96</x:v>
      </x:c>
      <x:c r="D81" t="str">
        <x:v>R1</x:v>
      </x:c>
      <x:c r="E81" t="str">
        <x:v>Glycine</x:v>
      </x:c>
      <x:c r="F81" t="str"/>
      <x:c r="G81" t="str">
        <x:v>mM</x:v>
      </x:c>
      <x:c r="H81" t="str">
        <x:v>BioProfile/LCMS</x:v>
      </x:c>
      <x:c r="I81" t="str">
        <x:v>spent_media</x:v>
      </x:c>
      <x:c r="J81" t="str">
        <x:v>OK</x:v>
      </x:c>
      <x:c r="K81" t="str"/>
    </x:row>
    <x:row r="82">
      <x:c r="A82" t="str">
        <x:v>Clone_B</x:v>
      </x:c>
      <x:c r="B82" t="n">
        <x:v>4</x:v>
      </x:c>
      <x:c r="C82" t="n">
        <x:v>96</x:v>
      </x:c>
      <x:c r="D82" t="str">
        <x:v>R1</x:v>
      </x:c>
      <x:c r="E82" t="str">
        <x:v>Proline</x:v>
      </x:c>
      <x:c r="F82" t="str"/>
      <x:c r="G82" t="str">
        <x:v>mM</x:v>
      </x:c>
      <x:c r="H82" t="str">
        <x:v>BioProfile/LCMS</x:v>
      </x:c>
      <x:c r="I82" t="str">
        <x:v>spent_media</x:v>
      </x:c>
      <x:c r="J82" t="str">
        <x:v>OK</x:v>
      </x:c>
      <x:c r="K82" t="str"/>
    </x:row>
    <x:row r="83">
      <x:c r="A83" t="str">
        <x:v>Clone_B</x:v>
      </x:c>
      <x:c r="B83" t="n">
        <x:v>4</x:v>
      </x:c>
      <x:c r="C83" t="n">
        <x:v>96</x:v>
      </x:c>
      <x:c r="D83" t="str">
        <x:v>R1</x:v>
      </x:c>
      <x:c r="E83" t="str">
        <x:v>Leucine</x:v>
      </x:c>
      <x:c r="F83" t="str"/>
      <x:c r="G83" t="str">
        <x:v>mM</x:v>
      </x:c>
      <x:c r="H83" t="str">
        <x:v>BioProfile/LCMS</x:v>
      </x:c>
      <x:c r="I83" t="str">
        <x:v>spent_media</x:v>
      </x:c>
      <x:c r="J83" t="str">
        <x:v>OK</x:v>
      </x:c>
      <x:c r="K83" t="str"/>
    </x:row>
    <x:row r="84">
      <x:c r="A84" t="str">
        <x:v>Clone_B</x:v>
      </x:c>
      <x:c r="B84" t="n">
        <x:v>4</x:v>
      </x:c>
      <x:c r="C84" t="n">
        <x:v>96</x:v>
      </x:c>
      <x:c r="D84" t="str">
        <x:v>R1</x:v>
      </x:c>
      <x:c r="E84" t="str">
        <x:v>Isoleucine</x:v>
      </x:c>
      <x:c r="F84" t="str"/>
      <x:c r="G84" t="str">
        <x:v>mM</x:v>
      </x:c>
      <x:c r="H84" t="str">
        <x:v>BioProfile/LCMS</x:v>
      </x:c>
      <x:c r="I84" t="str">
        <x:v>spent_media</x:v>
      </x:c>
      <x:c r="J84" t="str">
        <x:v>OK</x:v>
      </x:c>
      <x:c r="K84" t="str"/>
    </x:row>
    <x:row r="85">
      <x:c r="A85" t="str">
        <x:v>Clone_B</x:v>
      </x:c>
      <x:c r="B85" t="n">
        <x:v>4</x:v>
      </x:c>
      <x:c r="C85" t="n">
        <x:v>96</x:v>
      </x:c>
      <x:c r="D85" t="str">
        <x:v>R1</x:v>
      </x:c>
      <x:c r="E85" t="str">
        <x:v>Valine</x:v>
      </x:c>
      <x:c r="F85" t="str"/>
      <x:c r="G85" t="str">
        <x:v>mM</x:v>
      </x:c>
      <x:c r="H85" t="str">
        <x:v>BioProfile/LCMS</x:v>
      </x:c>
      <x:c r="I85" t="str">
        <x:v>spent_media</x:v>
      </x:c>
      <x:c r="J85" t="str">
        <x:v>OK</x:v>
      </x:c>
      <x:c r="K85" t="str"/>
    </x:row>
    <x:row r="86">
      <x:c r="A86" t="str">
        <x:v>Clone_B</x:v>
      </x:c>
      <x:c r="B86" t="n">
        <x:v>8</x:v>
      </x:c>
      <x:c r="C86" t="n">
        <x:v>192</x:v>
      </x:c>
      <x:c r="D86" t="str">
        <x:v>R1</x:v>
      </x:c>
      <x:c r="E86" t="str">
        <x:v>Glucose</x:v>
      </x:c>
      <x:c r="F86" t="str"/>
      <x:c r="G86" t="str">
        <x:v>mM</x:v>
      </x:c>
      <x:c r="H86" t="str">
        <x:v>BioProfile/LCMS</x:v>
      </x:c>
      <x:c r="I86" t="str">
        <x:v>spent_media</x:v>
      </x:c>
      <x:c r="J86" t="str">
        <x:v>OK</x:v>
      </x:c>
      <x:c r="K86" t="str"/>
    </x:row>
    <x:row r="87">
      <x:c r="A87" t="str">
        <x:v>Clone_B</x:v>
      </x:c>
      <x:c r="B87" t="n">
        <x:v>8</x:v>
      </x:c>
      <x:c r="C87" t="n">
        <x:v>192</x:v>
      </x:c>
      <x:c r="D87" t="str">
        <x:v>R1</x:v>
      </x:c>
      <x:c r="E87" t="str">
        <x:v>Lactate</x:v>
      </x:c>
      <x:c r="F87" t="str"/>
      <x:c r="G87" t="str">
        <x:v>mM</x:v>
      </x:c>
      <x:c r="H87" t="str">
        <x:v>BioProfile/LCMS</x:v>
      </x:c>
      <x:c r="I87" t="str">
        <x:v>spent_media</x:v>
      </x:c>
      <x:c r="J87" t="str">
        <x:v>OK</x:v>
      </x:c>
      <x:c r="K87" t="str"/>
    </x:row>
    <x:row r="88">
      <x:c r="A88" t="str">
        <x:v>Clone_B</x:v>
      </x:c>
      <x:c r="B88" t="n">
        <x:v>8</x:v>
      </x:c>
      <x:c r="C88" t="n">
        <x:v>192</x:v>
      </x:c>
      <x:c r="D88" t="str">
        <x:v>R1</x:v>
      </x:c>
      <x:c r="E88" t="str">
        <x:v>Glutamine</x:v>
      </x:c>
      <x:c r="F88" t="str"/>
      <x:c r="G88" t="str">
        <x:v>mM</x:v>
      </x:c>
      <x:c r="H88" t="str">
        <x:v>BioProfile/LCMS</x:v>
      </x:c>
      <x:c r="I88" t="str">
        <x:v>spent_media</x:v>
      </x:c>
      <x:c r="J88" t="str">
        <x:v>OK</x:v>
      </x:c>
      <x:c r="K88" t="str"/>
    </x:row>
    <x:row r="89">
      <x:c r="A89" t="str">
        <x:v>Clone_B</x:v>
      </x:c>
      <x:c r="B89" t="n">
        <x:v>8</x:v>
      </x:c>
      <x:c r="C89" t="n">
        <x:v>192</x:v>
      </x:c>
      <x:c r="D89" t="str">
        <x:v>R1</x:v>
      </x:c>
      <x:c r="E89" t="str">
        <x:v>Glutamate</x:v>
      </x:c>
      <x:c r="F89" t="str"/>
      <x:c r="G89" t="str">
        <x:v>mM</x:v>
      </x:c>
      <x:c r="H89" t="str">
        <x:v>BioProfile/LCMS</x:v>
      </x:c>
      <x:c r="I89" t="str">
        <x:v>spent_media</x:v>
      </x:c>
      <x:c r="J89" t="str">
        <x:v>OK</x:v>
      </x:c>
      <x:c r="K89" t="str"/>
    </x:row>
    <x:row r="90">
      <x:c r="A90" t="str">
        <x:v>Clone_B</x:v>
      </x:c>
      <x:c r="B90" t="n">
        <x:v>8</x:v>
      </x:c>
      <x:c r="C90" t="n">
        <x:v>192</x:v>
      </x:c>
      <x:c r="D90" t="str">
        <x:v>R1</x:v>
      </x:c>
      <x:c r="E90" t="str">
        <x:v>Ammonia</x:v>
      </x:c>
      <x:c r="F90" t="str"/>
      <x:c r="G90" t="str">
        <x:v>mM</x:v>
      </x:c>
      <x:c r="H90" t="str">
        <x:v>BioProfile/LCMS</x:v>
      </x:c>
      <x:c r="I90" t="str">
        <x:v>spent_media</x:v>
      </x:c>
      <x:c r="J90" t="str">
        <x:v>OK</x:v>
      </x:c>
      <x:c r="K90" t="str"/>
    </x:row>
    <x:row r="91">
      <x:c r="A91" t="str">
        <x:v>Clone_B</x:v>
      </x:c>
      <x:c r="B91" t="n">
        <x:v>8</x:v>
      </x:c>
      <x:c r="C91" t="n">
        <x:v>192</x:v>
      </x:c>
      <x:c r="D91" t="str">
        <x:v>R1</x:v>
      </x:c>
      <x:c r="E91" t="str">
        <x:v>Alanine</x:v>
      </x:c>
      <x:c r="F91" t="str"/>
      <x:c r="G91" t="str">
        <x:v>mM</x:v>
      </x:c>
      <x:c r="H91" t="str">
        <x:v>BioProfile/LCMS</x:v>
      </x:c>
      <x:c r="I91" t="str">
        <x:v>spent_media</x:v>
      </x:c>
      <x:c r="J91" t="str">
        <x:v>OK</x:v>
      </x:c>
      <x:c r="K91" t="str"/>
    </x:row>
    <x:row r="92">
      <x:c r="A92" t="str">
        <x:v>Clone_B</x:v>
      </x:c>
      <x:c r="B92" t="n">
        <x:v>8</x:v>
      </x:c>
      <x:c r="C92" t="n">
        <x:v>192</x:v>
      </x:c>
      <x:c r="D92" t="str">
        <x:v>R1</x:v>
      </x:c>
      <x:c r="E92" t="str">
        <x:v>Asparagine</x:v>
      </x:c>
      <x:c r="F92" t="str"/>
      <x:c r="G92" t="str">
        <x:v>mM</x:v>
      </x:c>
      <x:c r="H92" t="str">
        <x:v>BioProfile/LCMS</x:v>
      </x:c>
      <x:c r="I92" t="str">
        <x:v>spent_media</x:v>
      </x:c>
      <x:c r="J92" t="str">
        <x:v>OK</x:v>
      </x:c>
      <x:c r="K92" t="str"/>
    </x:row>
    <x:row r="93">
      <x:c r="A93" t="str">
        <x:v>Clone_B</x:v>
      </x:c>
      <x:c r="B93" t="n">
        <x:v>8</x:v>
      </x:c>
      <x:c r="C93" t="n">
        <x:v>192</x:v>
      </x:c>
      <x:c r="D93" t="str">
        <x:v>R1</x:v>
      </x:c>
      <x:c r="E93" t="str">
        <x:v>Aspartate</x:v>
      </x:c>
      <x:c r="F93" t="str"/>
      <x:c r="G93" t="str">
        <x:v>mM</x:v>
      </x:c>
      <x:c r="H93" t="str">
        <x:v>BioProfile/LCMS</x:v>
      </x:c>
      <x:c r="I93" t="str">
        <x:v>spent_media</x:v>
      </x:c>
      <x:c r="J93" t="str">
        <x:v>OK</x:v>
      </x:c>
      <x:c r="K93" t="str"/>
    </x:row>
    <x:row r="94">
      <x:c r="A94" t="str">
        <x:v>Clone_B</x:v>
      </x:c>
      <x:c r="B94" t="n">
        <x:v>8</x:v>
      </x:c>
      <x:c r="C94" t="n">
        <x:v>192</x:v>
      </x:c>
      <x:c r="D94" t="str">
        <x:v>R1</x:v>
      </x:c>
      <x:c r="E94" t="str">
        <x:v>Serine</x:v>
      </x:c>
      <x:c r="F94" t="str"/>
      <x:c r="G94" t="str">
        <x:v>mM</x:v>
      </x:c>
      <x:c r="H94" t="str">
        <x:v>BioProfile/LCMS</x:v>
      </x:c>
      <x:c r="I94" t="str">
        <x:v>spent_media</x:v>
      </x:c>
      <x:c r="J94" t="str">
        <x:v>OK</x:v>
      </x:c>
      <x:c r="K94" t="str"/>
    </x:row>
    <x:row r="95">
      <x:c r="A95" t="str">
        <x:v>Clone_B</x:v>
      </x:c>
      <x:c r="B95" t="n">
        <x:v>8</x:v>
      </x:c>
      <x:c r="C95" t="n">
        <x:v>192</x:v>
      </x:c>
      <x:c r="D95" t="str">
        <x:v>R1</x:v>
      </x:c>
      <x:c r="E95" t="str">
        <x:v>Glycine</x:v>
      </x:c>
      <x:c r="F95" t="str"/>
      <x:c r="G95" t="str">
        <x:v>mM</x:v>
      </x:c>
      <x:c r="H95" t="str">
        <x:v>BioProfile/LCMS</x:v>
      </x:c>
      <x:c r="I95" t="str">
        <x:v>spent_media</x:v>
      </x:c>
      <x:c r="J95" t="str">
        <x:v>OK</x:v>
      </x:c>
      <x:c r="K95" t="str"/>
    </x:row>
    <x:row r="96">
      <x:c r="A96" t="str">
        <x:v>Clone_B</x:v>
      </x:c>
      <x:c r="B96" t="n">
        <x:v>8</x:v>
      </x:c>
      <x:c r="C96" t="n">
        <x:v>192</x:v>
      </x:c>
      <x:c r="D96" t="str">
        <x:v>R1</x:v>
      </x:c>
      <x:c r="E96" t="str">
        <x:v>Proline</x:v>
      </x:c>
      <x:c r="F96" t="str"/>
      <x:c r="G96" t="str">
        <x:v>mM</x:v>
      </x:c>
      <x:c r="H96" t="str">
        <x:v>BioProfile/LCMS</x:v>
      </x:c>
      <x:c r="I96" t="str">
        <x:v>spent_media</x:v>
      </x:c>
      <x:c r="J96" t="str">
        <x:v>OK</x:v>
      </x:c>
      <x:c r="K96" t="str"/>
    </x:row>
    <x:row r="97">
      <x:c r="A97" t="str">
        <x:v>Clone_B</x:v>
      </x:c>
      <x:c r="B97" t="n">
        <x:v>8</x:v>
      </x:c>
      <x:c r="C97" t="n">
        <x:v>192</x:v>
      </x:c>
      <x:c r="D97" t="str">
        <x:v>R1</x:v>
      </x:c>
      <x:c r="E97" t="str">
        <x:v>Leucine</x:v>
      </x:c>
      <x:c r="F97" t="str"/>
      <x:c r="G97" t="str">
        <x:v>mM</x:v>
      </x:c>
      <x:c r="H97" t="str">
        <x:v>BioProfile/LCMS</x:v>
      </x:c>
      <x:c r="I97" t="str">
        <x:v>spent_media</x:v>
      </x:c>
      <x:c r="J97" t="str">
        <x:v>OK</x:v>
      </x:c>
      <x:c r="K97" t="str"/>
    </x:row>
    <x:row r="98">
      <x:c r="A98" t="str">
        <x:v>Clone_B</x:v>
      </x:c>
      <x:c r="B98" t="n">
        <x:v>8</x:v>
      </x:c>
      <x:c r="C98" t="n">
        <x:v>192</x:v>
      </x:c>
      <x:c r="D98" t="str">
        <x:v>R1</x:v>
      </x:c>
      <x:c r="E98" t="str">
        <x:v>Isoleucine</x:v>
      </x:c>
      <x:c r="F98" t="str"/>
      <x:c r="G98" t="str">
        <x:v>mM</x:v>
      </x:c>
      <x:c r="H98" t="str">
        <x:v>BioProfile/LCMS</x:v>
      </x:c>
      <x:c r="I98" t="str">
        <x:v>spent_media</x:v>
      </x:c>
      <x:c r="J98" t="str">
        <x:v>OK</x:v>
      </x:c>
      <x:c r="K98" t="str"/>
    </x:row>
    <x:row r="99">
      <x:c r="A99" t="str">
        <x:v>Clone_B</x:v>
      </x:c>
      <x:c r="B99" t="n">
        <x:v>8</x:v>
      </x:c>
      <x:c r="C99" t="n">
        <x:v>192</x:v>
      </x:c>
      <x:c r="D99" t="str">
        <x:v>R1</x:v>
      </x:c>
      <x:c r="E99" t="str">
        <x:v>Valine</x:v>
      </x:c>
      <x:c r="F99" t="str"/>
      <x:c r="G99" t="str">
        <x:v>mM</x:v>
      </x:c>
      <x:c r="H99" t="str">
        <x:v>BioProfile/LCMS</x:v>
      </x:c>
      <x:c r="I99" t="str">
        <x:v>spent_media</x:v>
      </x:c>
      <x:c r="J99" t="str">
        <x:v>OK</x:v>
      </x:c>
      <x:c r="K99" t="str"/>
    </x:row>
    <x:row r="100">
      <x:c r="A100" t="str">
        <x:v>Clone_B</x:v>
      </x:c>
      <x:c r="B100" t="n">
        <x:v>12</x:v>
      </x:c>
      <x:c r="C100" t="n">
        <x:v>288</x:v>
      </x:c>
      <x:c r="D100" t="str">
        <x:v>R1</x:v>
      </x:c>
      <x:c r="E100" t="str">
        <x:v>Glucose</x:v>
      </x:c>
      <x:c r="F100" t="str"/>
      <x:c r="G100" t="str">
        <x:v>mM</x:v>
      </x:c>
      <x:c r="H100" t="str">
        <x:v>BioProfile/LCMS</x:v>
      </x:c>
      <x:c r="I100" t="str">
        <x:v>spent_media</x:v>
      </x:c>
      <x:c r="J100" t="str">
        <x:v>OK</x:v>
      </x:c>
      <x:c r="K100" t="str"/>
    </x:row>
    <x:row r="101">
      <x:c r="A101" t="str">
        <x:v>Clone_B</x:v>
      </x:c>
      <x:c r="B101" t="n">
        <x:v>12</x:v>
      </x:c>
      <x:c r="C101" t="n">
        <x:v>288</x:v>
      </x:c>
      <x:c r="D101" t="str">
        <x:v>R1</x:v>
      </x:c>
      <x:c r="E101" t="str">
        <x:v>Lactate</x:v>
      </x:c>
      <x:c r="F101" t="str"/>
      <x:c r="G101" t="str">
        <x:v>mM</x:v>
      </x:c>
      <x:c r="H101" t="str">
        <x:v>BioProfile/LCMS</x:v>
      </x:c>
      <x:c r="I101" t="str">
        <x:v>spent_media</x:v>
      </x:c>
      <x:c r="J101" t="str">
        <x:v>OK</x:v>
      </x:c>
      <x:c r="K101" t="str"/>
    </x:row>
    <x:row r="102">
      <x:c r="A102" t="str">
        <x:v>Clone_B</x:v>
      </x:c>
      <x:c r="B102" t="n">
        <x:v>12</x:v>
      </x:c>
      <x:c r="C102" t="n">
        <x:v>288</x:v>
      </x:c>
      <x:c r="D102" t="str">
        <x:v>R1</x:v>
      </x:c>
      <x:c r="E102" t="str">
        <x:v>Glutamine</x:v>
      </x:c>
      <x:c r="F102" t="str"/>
      <x:c r="G102" t="str">
        <x:v>mM</x:v>
      </x:c>
      <x:c r="H102" t="str">
        <x:v>BioProfile/LCMS</x:v>
      </x:c>
      <x:c r="I102" t="str">
        <x:v>spent_media</x:v>
      </x:c>
      <x:c r="J102" t="str">
        <x:v>OK</x:v>
      </x:c>
      <x:c r="K102" t="str"/>
    </x:row>
    <x:row r="103">
      <x:c r="A103" t="str">
        <x:v>Clone_B</x:v>
      </x:c>
      <x:c r="B103" t="n">
        <x:v>12</x:v>
      </x:c>
      <x:c r="C103" t="n">
        <x:v>288</x:v>
      </x:c>
      <x:c r="D103" t="str">
        <x:v>R1</x:v>
      </x:c>
      <x:c r="E103" t="str">
        <x:v>Glutamate</x:v>
      </x:c>
      <x:c r="F103" t="str"/>
      <x:c r="G103" t="str">
        <x:v>mM</x:v>
      </x:c>
      <x:c r="H103" t="str">
        <x:v>BioProfile/LCMS</x:v>
      </x:c>
      <x:c r="I103" t="str">
        <x:v>spent_media</x:v>
      </x:c>
      <x:c r="J103" t="str">
        <x:v>OK</x:v>
      </x:c>
      <x:c r="K103" t="str"/>
    </x:row>
    <x:row r="104">
      <x:c r="A104" t="str">
        <x:v>Clone_B</x:v>
      </x:c>
      <x:c r="B104" t="n">
        <x:v>12</x:v>
      </x:c>
      <x:c r="C104" t="n">
        <x:v>288</x:v>
      </x:c>
      <x:c r="D104" t="str">
        <x:v>R1</x:v>
      </x:c>
      <x:c r="E104" t="str">
        <x:v>Ammonia</x:v>
      </x:c>
      <x:c r="F104" t="str"/>
      <x:c r="G104" t="str">
        <x:v>mM</x:v>
      </x:c>
      <x:c r="H104" t="str">
        <x:v>BioProfile/LCMS</x:v>
      </x:c>
      <x:c r="I104" t="str">
        <x:v>spent_media</x:v>
      </x:c>
      <x:c r="J104" t="str">
        <x:v>OK</x:v>
      </x:c>
      <x:c r="K104" t="str"/>
    </x:row>
    <x:row r="105">
      <x:c r="A105" t="str">
        <x:v>Clone_B</x:v>
      </x:c>
      <x:c r="B105" t="n">
        <x:v>12</x:v>
      </x:c>
      <x:c r="C105" t="n">
        <x:v>288</x:v>
      </x:c>
      <x:c r="D105" t="str">
        <x:v>R1</x:v>
      </x:c>
      <x:c r="E105" t="str">
        <x:v>Alanine</x:v>
      </x:c>
      <x:c r="F105" t="str"/>
      <x:c r="G105" t="str">
        <x:v>mM</x:v>
      </x:c>
      <x:c r="H105" t="str">
        <x:v>BioProfile/LCMS</x:v>
      </x:c>
      <x:c r="I105" t="str">
        <x:v>spent_media</x:v>
      </x:c>
      <x:c r="J105" t="str">
        <x:v>OK</x:v>
      </x:c>
      <x:c r="K105" t="str"/>
    </x:row>
    <x:row r="106">
      <x:c r="A106" t="str">
        <x:v>Clone_B</x:v>
      </x:c>
      <x:c r="B106" t="n">
        <x:v>12</x:v>
      </x:c>
      <x:c r="C106" t="n">
        <x:v>288</x:v>
      </x:c>
      <x:c r="D106" t="str">
        <x:v>R1</x:v>
      </x:c>
      <x:c r="E106" t="str">
        <x:v>Asparagine</x:v>
      </x:c>
      <x:c r="F106" t="str"/>
      <x:c r="G106" t="str">
        <x:v>mM</x:v>
      </x:c>
      <x:c r="H106" t="str">
        <x:v>BioProfile/LCMS</x:v>
      </x:c>
      <x:c r="I106" t="str">
        <x:v>spent_media</x:v>
      </x:c>
      <x:c r="J106" t="str">
        <x:v>OK</x:v>
      </x:c>
      <x:c r="K106" t="str"/>
    </x:row>
    <x:row r="107">
      <x:c r="A107" t="str">
        <x:v>Clone_B</x:v>
      </x:c>
      <x:c r="B107" t="n">
        <x:v>12</x:v>
      </x:c>
      <x:c r="C107" t="n">
        <x:v>288</x:v>
      </x:c>
      <x:c r="D107" t="str">
        <x:v>R1</x:v>
      </x:c>
      <x:c r="E107" t="str">
        <x:v>Aspartate</x:v>
      </x:c>
      <x:c r="F107" t="str"/>
      <x:c r="G107" t="str">
        <x:v>mM</x:v>
      </x:c>
      <x:c r="H107" t="str">
        <x:v>BioProfile/LCMS</x:v>
      </x:c>
      <x:c r="I107" t="str">
        <x:v>spent_media</x:v>
      </x:c>
      <x:c r="J107" t="str">
        <x:v>OK</x:v>
      </x:c>
      <x:c r="K107" t="str"/>
    </x:row>
    <x:row r="108">
      <x:c r="A108" t="str">
        <x:v>Clone_B</x:v>
      </x:c>
      <x:c r="B108" t="n">
        <x:v>12</x:v>
      </x:c>
      <x:c r="C108" t="n">
        <x:v>288</x:v>
      </x:c>
      <x:c r="D108" t="str">
        <x:v>R1</x:v>
      </x:c>
      <x:c r="E108" t="str">
        <x:v>Serine</x:v>
      </x:c>
      <x:c r="F108" t="str"/>
      <x:c r="G108" t="str">
        <x:v>mM</x:v>
      </x:c>
      <x:c r="H108" t="str">
        <x:v>BioProfile/LCMS</x:v>
      </x:c>
      <x:c r="I108" t="str">
        <x:v>spent_media</x:v>
      </x:c>
      <x:c r="J108" t="str">
        <x:v>OK</x:v>
      </x:c>
      <x:c r="K108" t="str"/>
    </x:row>
    <x:row r="109">
      <x:c r="A109" t="str">
        <x:v>Clone_B</x:v>
      </x:c>
      <x:c r="B109" t="n">
        <x:v>12</x:v>
      </x:c>
      <x:c r="C109" t="n">
        <x:v>288</x:v>
      </x:c>
      <x:c r="D109" t="str">
        <x:v>R1</x:v>
      </x:c>
      <x:c r="E109" t="str">
        <x:v>Glycine</x:v>
      </x:c>
      <x:c r="F109" t="str"/>
      <x:c r="G109" t="str">
        <x:v>mM</x:v>
      </x:c>
      <x:c r="H109" t="str">
        <x:v>BioProfile/LCMS</x:v>
      </x:c>
      <x:c r="I109" t="str">
        <x:v>spent_media</x:v>
      </x:c>
      <x:c r="J109" t="str">
        <x:v>OK</x:v>
      </x:c>
      <x:c r="K109" t="str"/>
    </x:row>
    <x:row r="110">
      <x:c r="A110" t="str">
        <x:v>Clone_B</x:v>
      </x:c>
      <x:c r="B110" t="n">
        <x:v>12</x:v>
      </x:c>
      <x:c r="C110" t="n">
        <x:v>288</x:v>
      </x:c>
      <x:c r="D110" t="str">
        <x:v>R1</x:v>
      </x:c>
      <x:c r="E110" t="str">
        <x:v>Proline</x:v>
      </x:c>
      <x:c r="F110" t="str"/>
      <x:c r="G110" t="str">
        <x:v>mM</x:v>
      </x:c>
      <x:c r="H110" t="str">
        <x:v>BioProfile/LCMS</x:v>
      </x:c>
      <x:c r="I110" t="str">
        <x:v>spent_media</x:v>
      </x:c>
      <x:c r="J110" t="str">
        <x:v>OK</x:v>
      </x:c>
      <x:c r="K110" t="str"/>
    </x:row>
    <x:row r="111">
      <x:c r="A111" t="str">
        <x:v>Clone_B</x:v>
      </x:c>
      <x:c r="B111" t="n">
        <x:v>12</x:v>
      </x:c>
      <x:c r="C111" t="n">
        <x:v>288</x:v>
      </x:c>
      <x:c r="D111" t="str">
        <x:v>R1</x:v>
      </x:c>
      <x:c r="E111" t="str">
        <x:v>Leucine</x:v>
      </x:c>
      <x:c r="F111" t="str"/>
      <x:c r="G111" t="str">
        <x:v>mM</x:v>
      </x:c>
      <x:c r="H111" t="str">
        <x:v>BioProfile/LCMS</x:v>
      </x:c>
      <x:c r="I111" t="str">
        <x:v>spent_media</x:v>
      </x:c>
      <x:c r="J111" t="str">
        <x:v>OK</x:v>
      </x:c>
      <x:c r="K111" t="str"/>
    </x:row>
    <x:row r="112">
      <x:c r="A112" t="str">
        <x:v>Clone_B</x:v>
      </x:c>
      <x:c r="B112" t="n">
        <x:v>12</x:v>
      </x:c>
      <x:c r="C112" t="n">
        <x:v>288</x:v>
      </x:c>
      <x:c r="D112" t="str">
        <x:v>R1</x:v>
      </x:c>
      <x:c r="E112" t="str">
        <x:v>Isoleucine</x:v>
      </x:c>
      <x:c r="F112" t="str"/>
      <x:c r="G112" t="str">
        <x:v>mM</x:v>
      </x:c>
      <x:c r="H112" t="str">
        <x:v>BioProfile/LCMS</x:v>
      </x:c>
      <x:c r="I112" t="str">
        <x:v>spent_media</x:v>
      </x:c>
      <x:c r="J112" t="str">
        <x:v>OK</x:v>
      </x:c>
      <x:c r="K112" t="str"/>
    </x:row>
    <x:row r="113">
      <x:c r="A113" t="str">
        <x:v>Clone_B</x:v>
      </x:c>
      <x:c r="B113" t="n">
        <x:v>12</x:v>
      </x:c>
      <x:c r="C113" t="n">
        <x:v>288</x:v>
      </x:c>
      <x:c r="D113" t="str">
        <x:v>R1</x:v>
      </x:c>
      <x:c r="E113" t="str">
        <x:v>Valine</x:v>
      </x:c>
      <x:c r="F113" t="str"/>
      <x:c r="G113" t="str">
        <x:v>mM</x:v>
      </x:c>
      <x:c r="H113" t="str">
        <x:v>BioProfile/LCMS</x:v>
      </x:c>
      <x:c r="I113" t="str">
        <x:v>spent_media</x:v>
      </x:c>
      <x:c r="J113" t="str">
        <x:v>OK</x:v>
      </x:c>
      <x:c r="K1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20" hidden="0" customWidth="1"/>
    <x:col min="7" max="7" width="20" hidden="0" customWidth="1"/>
  </x:cols>
  <x:sheetData>
    <x:row r="1">
      <x:c r="A1" s="102" t="str">
        <x:v>metabolite</x:v>
      </x:c>
      <x:c r="B1" s="102" t="str">
        <x:v>priority</x:v>
      </x:c>
      <x:c r="C1" s="102" t="str">
        <x:v>category</x:v>
      </x:c>
      <x:c r="D1" s="102" t="str">
        <x:v>recommended_platform</x:v>
      </x:c>
      <x:c r="E1" s="102" t="str">
        <x:v>reason</x:v>
      </x:c>
      <x:c r="F1" s="102" t="str">
        <x:v>unit</x:v>
      </x:c>
      <x:c r="G1" s="102" t="str">
        <x:v>fba_required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Glucose</x:v>
      </x:c>
      <x:c r="B2" t="str">
        <x:v>Essential</x:v>
      </x:c>
      <x:c r="C2" t="str">
        <x:v>carbon</x:v>
      </x:c>
      <x:c r="D2" t="str">
        <x:v>BioProfile/HPLC</x:v>
      </x:c>
      <x:c r="E2" t="str">
        <x:v>main carbon source</x:v>
      </x:c>
      <x:c r="F2" t="str">
        <x:v>mM</x:v>
      </x:c>
      <x:c r="G2" s="21" t="b">
        <x:v>1</x:v>
      </x:c>
    </x:row>
    <x:row r="3">
      <x:c r="A3" t="str">
        <x:v>Lactate</x:v>
      </x:c>
      <x:c r="B3" t="str">
        <x:v>Essential</x:v>
      </x:c>
      <x:c r="C3" t="str">
        <x:v>overflow</x:v>
      </x:c>
      <x:c r="D3" t="str">
        <x:v>BioProfile/HPLC</x:v>
      </x:c>
      <x:c r="E3" t="str">
        <x:v>waste/overflow marker</x:v>
      </x:c>
      <x:c r="F3" t="str">
        <x:v>mM</x:v>
      </x:c>
      <x:c r="G3" s="21" t="b">
        <x:v>1</x:v>
      </x:c>
    </x:row>
    <x:row r="4">
      <x:c r="A4" t="str">
        <x:v>Glutamine</x:v>
      </x:c>
      <x:c r="B4" t="str">
        <x:v>Essential</x:v>
      </x:c>
      <x:c r="C4" t="str">
        <x:v>nitrogen/carbon</x:v>
      </x:c>
      <x:c r="D4" t="str">
        <x:v>BioProfile/LCMS</x:v>
      </x:c>
      <x:c r="E4" t="str">
        <x:v>glutaminolysis/anaplerosis</x:v>
      </x:c>
      <x:c r="F4" t="str">
        <x:v>mM</x:v>
      </x:c>
      <x:c r="G4" s="21" t="b">
        <x:v>1</x:v>
      </x:c>
    </x:row>
    <x:row r="5">
      <x:c r="A5" t="str">
        <x:v>Glutamate</x:v>
      </x:c>
      <x:c r="B5" t="str">
        <x:v>Essential</x:v>
      </x:c>
      <x:c r="C5" t="str">
        <x:v>nitrogen/carbon</x:v>
      </x:c>
      <x:c r="D5" t="str">
        <x:v>BioProfile/LCMS</x:v>
      </x:c>
      <x:c r="E5" t="str">
        <x:v>glutamine fate</x:v>
      </x:c>
      <x:c r="F5" t="str">
        <x:v>mM</x:v>
      </x:c>
      <x:c r="G5" s="21" t="b">
        <x:v>1</x:v>
      </x:c>
    </x:row>
    <x:row r="6">
      <x:c r="A6" t="str">
        <x:v>Ammonia</x:v>
      </x:c>
      <x:c r="B6" t="str">
        <x:v>Essential</x:v>
      </x:c>
      <x:c r="C6" t="str">
        <x:v>waste</x:v>
      </x:c>
      <x:c r="D6" t="str">
        <x:v>BioProfile</x:v>
      </x:c>
      <x:c r="E6" t="str">
        <x:v>nitrogen waste/toxicity</x:v>
      </x:c>
      <x:c r="F6" t="str">
        <x:v>mM</x:v>
      </x:c>
      <x:c r="G6" s="21" t="b">
        <x:v>1</x:v>
      </x:c>
    </x:row>
    <x:row r="7">
      <x:c r="A7" t="str">
        <x:v>Alanine</x:v>
      </x:c>
      <x:c r="B7" t="str">
        <x:v>Recommended</x:v>
      </x:c>
      <x:c r="C7" t="str">
        <x:v>amino acid</x:v>
      </x:c>
      <x:c r="D7" t="str">
        <x:v>LCMS</x:v>
      </x:c>
      <x:c r="E7" t="str">
        <x:v>pyruvate/nitrogen sink</x:v>
      </x:c>
      <x:c r="F7" t="str">
        <x:v>mM</x:v>
      </x:c>
      <x:c r="G7" s="21" t="b">
        <x:v>1</x:v>
      </x:c>
    </x:row>
    <x:row r="8">
      <x:c r="A8" t="str">
        <x:v>Asparagine</x:v>
      </x:c>
      <x:c r="B8" t="str">
        <x:v>Recommended</x:v>
      </x:c>
      <x:c r="C8" t="str">
        <x:v>amino acid</x:v>
      </x:c>
      <x:c r="D8" t="str">
        <x:v>LCMS</x:v>
      </x:c>
      <x:c r="E8" t="str">
        <x:v>often limiting in CHO</x:v>
      </x:c>
      <x:c r="F8" t="str">
        <x:v>mM</x:v>
      </x:c>
      <x:c r="G8" s="21" t="b">
        <x:v>1</x:v>
      </x:c>
    </x:row>
    <x:row r="9">
      <x:c r="A9" t="str">
        <x:v>Aspartate</x:v>
      </x:c>
      <x:c r="B9" t="str">
        <x:v>Recommended</x:v>
      </x:c>
      <x:c r="C9" t="str">
        <x:v>amino acid</x:v>
      </x:c>
      <x:c r="D9" t="str">
        <x:v>LCMS</x:v>
      </x:c>
      <x:c r="E9" t="str">
        <x:v>TCA/nucleotide related</x:v>
      </x:c>
      <x:c r="F9" t="str">
        <x:v>mM</x:v>
      </x:c>
      <x:c r="G9" s="21" t="b">
        <x:v>1</x:v>
      </x:c>
    </x:row>
    <x:row r="10">
      <x:c r="A10" t="str">
        <x:v>Serine</x:v>
      </x:c>
      <x:c r="B10" t="str">
        <x:v>Recommended</x:v>
      </x:c>
      <x:c r="C10" t="str">
        <x:v>amino acid/one-carbon</x:v>
      </x:c>
      <x:c r="D10" t="str">
        <x:v>LCMS</x:v>
      </x:c>
      <x:c r="E10" t="str">
        <x:v>one-carbon/glycine link</x:v>
      </x:c>
      <x:c r="F10" t="str">
        <x:v>mM</x:v>
      </x:c>
      <x:c r="G10" s="21" t="b">
        <x:v>1</x:v>
      </x:c>
    </x:row>
    <x:row r="11">
      <x:c r="A11" t="str">
        <x:v>Glycine</x:v>
      </x:c>
      <x:c r="B11" t="str">
        <x:v>Recommended</x:v>
      </x:c>
      <x:c r="C11" t="str">
        <x:v>amino acid</x:v>
      </x:c>
      <x:c r="D11" t="str">
        <x:v>LCMS</x:v>
      </x:c>
      <x:c r="E11" t="str">
        <x:v>one-carbon/glycine link</x:v>
      </x:c>
      <x:c r="F11" t="str">
        <x:v>mM</x:v>
      </x:c>
      <x:c r="G11" s="21" t="b">
        <x:v>1</x:v>
      </x:c>
    </x:row>
    <x:row r="12">
      <x:c r="A12" t="str">
        <x:v>Proline</x:v>
      </x:c>
      <x:c r="B12" t="str">
        <x:v>Recommended</x:v>
      </x:c>
      <x:c r="C12" t="str">
        <x:v>amino acid</x:v>
      </x:c>
      <x:c r="D12" t="str">
        <x:v>LCMS</x:v>
      </x:c>
      <x:c r="E12" t="str">
        <x:v>redox/osmotic link</x:v>
      </x:c>
      <x:c r="F12" t="str">
        <x:v>mM</x:v>
      </x:c>
      <x:c r="G12" s="21" t="b">
        <x:v>1</x:v>
      </x:c>
    </x:row>
    <x:row r="13">
      <x:c r="A13" t="str">
        <x:v>Leucine</x:v>
      </x:c>
      <x:c r="B13" t="str">
        <x:v>Recommended</x:v>
      </x:c>
      <x:c r="C13" t="str">
        <x:v>BCAA</x:v>
      </x:c>
      <x:c r="D13" t="str">
        <x:v>LCMS</x:v>
      </x:c>
      <x:c r="E13" t="str">
        <x:v>BCAA demand</x:v>
      </x:c>
      <x:c r="F13" t="str">
        <x:v>mM</x:v>
      </x:c>
      <x:c r="G13" s="21" t="b">
        <x:v>1</x:v>
      </x:c>
    </x:row>
    <x:row r="14">
      <x:c r="A14" t="str">
        <x:v>Isoleucine</x:v>
      </x:c>
      <x:c r="B14" t="str">
        <x:v>Recommended</x:v>
      </x:c>
      <x:c r="C14" t="str">
        <x:v>BCAA</x:v>
      </x:c>
      <x:c r="D14" t="str">
        <x:v>LCMS</x:v>
      </x:c>
      <x:c r="E14" t="str">
        <x:v>BCAA demand</x:v>
      </x:c>
      <x:c r="F14" t="str">
        <x:v>mM</x:v>
      </x:c>
      <x:c r="G14" s="21" t="b">
        <x:v>1</x:v>
      </x:c>
    </x:row>
    <x:row r="15">
      <x:c r="A15" t="str">
        <x:v>Valine</x:v>
      </x:c>
      <x:c r="B15" t="str">
        <x:v>Recommended</x:v>
      </x:c>
      <x:c r="C15" t="str">
        <x:v>BCAA</x:v>
      </x:c>
      <x:c r="D15" t="str">
        <x:v>LCMS</x:v>
      </x:c>
      <x:c r="E15" t="str">
        <x:v>BCAA demand</x:v>
      </x:c>
      <x:c r="F15" t="str">
        <x:v>mM</x:v>
      </x:c>
      <x:c r="G15" s="21" t="b">
        <x:v>1</x:v>
      </x:c>
    </x:row>
    <x:row r="16">
      <x:c r="A16" t="str">
        <x:v>Citrate</x:v>
      </x:c>
      <x:c r="B16" t="str">
        <x:v>Optional</x:v>
      </x:c>
      <x:c r="C16" t="str">
        <x:v>TCA-related</x:v>
      </x:c>
      <x:c r="D16" t="str">
        <x:v>LCMS/NMR</x:v>
      </x:c>
      <x:c r="E16" t="str">
        <x:v>TCA-related extracellular marker</x:v>
      </x:c>
      <x:c r="F16" t="str">
        <x:v>mM</x:v>
      </x:c>
      <x:c r="G16" s="21" t="b">
        <x:v>0</x:v>
      </x:c>
    </x:row>
    <x:row r="17">
      <x:c r="A17" t="str">
        <x:v>Succinate</x:v>
      </x:c>
      <x:c r="B17" t="str">
        <x:v>Optional</x:v>
      </x:c>
      <x:c r="C17" t="str">
        <x:v>TCA-related</x:v>
      </x:c>
      <x:c r="D17" t="str">
        <x:v>LCMS/NMR</x:v>
      </x:c>
      <x:c r="E17" t="str">
        <x:v>TCA-related extracellular marker</x:v>
      </x:c>
      <x:c r="F17" t="str">
        <x:v>mM</x:v>
      </x:c>
      <x:c r="G17" s="21" t="b">
        <x:v>0</x:v>
      </x:c>
    </x:row>
    <x:row r="18">
      <x:c r="A18" t="str">
        <x:v>Fumarate</x:v>
      </x:c>
      <x:c r="B18" t="str">
        <x:v>Optional</x:v>
      </x:c>
      <x:c r="C18" t="str">
        <x:v>TCA-related</x:v>
      </x:c>
      <x:c r="D18" t="str">
        <x:v>LCMS/NMR</x:v>
      </x:c>
      <x:c r="E18" t="str">
        <x:v>TCA-related extracellular marker</x:v>
      </x:c>
      <x:c r="F18" t="str">
        <x:v>mM</x:v>
      </x:c>
      <x:c r="G18" s="21" t="b">
        <x:v>0</x:v>
      </x:c>
    </x:row>
    <x:row r="19">
      <x:c r="A19" t="str">
        <x:v>Malate</x:v>
      </x:c>
      <x:c r="B19" t="str">
        <x:v>Optional</x:v>
      </x:c>
      <x:c r="C19" t="str">
        <x:v>TCA-related</x:v>
      </x:c>
      <x:c r="D19" t="str">
        <x:v>LCMS/NMR</x:v>
      </x:c>
      <x:c r="E19" t="str">
        <x:v>TCA-related extracellular marker</x:v>
      </x:c>
      <x:c r="F19" t="str">
        <x:v>mM</x:v>
      </x:c>
      <x:c r="G19" s="2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4" t="str">
        <x:v>metabolite</x:v>
      </x:c>
      <x:c r="B1" s="104" t="str">
        <x:v>exchange_rxn</x:v>
      </x:c>
      <x:c r="C1" s="104" t="str">
        <x:v>direction_if_consumed</x:v>
      </x:c>
      <x:c r="D1" s="104" t="str">
        <x:v>direction_if_secreted</x:v>
      </x:c>
      <x:c r="E1" s="104" t="str">
        <x:v>default_bound_note</x:v>
      </x:c>
      <x:c r="F1" s="104" t="str">
        <x:v>include_in_template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Glucose</x:v>
      </x:c>
      <x:c r="B2" t="str">
        <x:v>EX_glc_e</x:v>
      </x:c>
      <x:c r="C2" t="str">
        <x:v>negative</x:v>
      </x:c>
      <x:c r="D2" t="str">
        <x:v>positive</x:v>
      </x:c>
      <x:c r="E2" t="str">
        <x:v>iCHO3K production model confirmed</x:v>
      </x:c>
      <x:c r="F2" s="21" t="b">
        <x:v>1</x:v>
      </x:c>
    </x:row>
    <x:row r="3">
      <x:c r="A3" t="str">
        <x:v>Lactate</x:v>
      </x:c>
      <x:c r="B3" t="str">
        <x:v>EX_lac_L_e</x:v>
      </x:c>
      <x:c r="C3" t="str">
        <x:v>negative</x:v>
      </x:c>
      <x:c r="D3" t="str">
        <x:v>positive</x:v>
      </x:c>
      <x:c r="E3" t="str">
        <x:v>L-lactate</x:v>
      </x:c>
      <x:c r="F3" s="21" t="b">
        <x:v>1</x:v>
      </x:c>
    </x:row>
    <x:row r="4">
      <x:c r="A4" t="str">
        <x:v>Glutamine</x:v>
      </x:c>
      <x:c r="B4" t="str">
        <x:v>EX_gln_L_e</x:v>
      </x:c>
      <x:c r="C4" t="str">
        <x:v>negative</x:v>
      </x:c>
      <x:c r="D4" t="str">
        <x:v>positive</x:v>
      </x:c>
      <x:c r="E4" t="str"/>
      <x:c r="F4" s="21" t="b">
        <x:v>1</x:v>
      </x:c>
    </x:row>
    <x:row r="5">
      <x:c r="A5" t="str">
        <x:v>Glutamate</x:v>
      </x:c>
      <x:c r="B5" t="str">
        <x:v>EX_glu_L_e</x:v>
      </x:c>
      <x:c r="C5" t="str">
        <x:v>negative</x:v>
      </x:c>
      <x:c r="D5" t="str">
        <x:v>positive</x:v>
      </x:c>
      <x:c r="E5" t="str"/>
      <x:c r="F5" s="21" t="b">
        <x:v>1</x:v>
      </x:c>
    </x:row>
    <x:row r="6">
      <x:c r="A6" t="str">
        <x:v>Ammonia/Ammonium</x:v>
      </x:c>
      <x:c r="B6" t="str">
        <x:v>EX_nh4_e</x:v>
      </x:c>
      <x:c r="C6" t="str">
        <x:v>negative</x:v>
      </x:c>
      <x:c r="D6" t="str">
        <x:v>positive</x:v>
      </x:c>
      <x:c r="E6" t="str"/>
      <x:c r="F6" s="21" t="b">
        <x:v>1</x:v>
      </x:c>
    </x:row>
    <x:row r="7">
      <x:c r="A7" t="str">
        <x:v>Alanine</x:v>
      </x:c>
      <x:c r="B7" t="str">
        <x:v>EX_ala_L_e</x:v>
      </x:c>
      <x:c r="C7" t="str">
        <x:v>negative</x:v>
      </x:c>
      <x:c r="D7" t="str">
        <x:v>positive</x:v>
      </x:c>
      <x:c r="E7" t="str"/>
      <x:c r="F7" s="21" t="b">
        <x:v>1</x:v>
      </x:c>
    </x:row>
    <x:row r="8">
      <x:c r="A8" t="str">
        <x:v>Asparagine</x:v>
      </x:c>
      <x:c r="B8" t="str">
        <x:v>EX_asn_L_e</x:v>
      </x:c>
      <x:c r="C8" t="str">
        <x:v>negative</x:v>
      </x:c>
      <x:c r="D8" t="str">
        <x:v>positive</x:v>
      </x:c>
      <x:c r="E8" t="str"/>
      <x:c r="F8" s="21" t="b">
        <x:v>1</x:v>
      </x:c>
    </x:row>
    <x:row r="9">
      <x:c r="A9" t="str">
        <x:v>Aspartate</x:v>
      </x:c>
      <x:c r="B9" t="str">
        <x:v>EX_asp_L_e</x:v>
      </x:c>
      <x:c r="C9" t="str">
        <x:v>negative</x:v>
      </x:c>
      <x:c r="D9" t="str">
        <x:v>positive</x:v>
      </x:c>
      <x:c r="E9" t="str"/>
      <x:c r="F9" s="21" t="b">
        <x:v>1</x:v>
      </x:c>
    </x:row>
    <x:row r="10">
      <x:c r="A10" t="str">
        <x:v>Serine</x:v>
      </x:c>
      <x:c r="B10" t="str">
        <x:v>EX_ser_L_e</x:v>
      </x:c>
      <x:c r="C10" t="str">
        <x:v>negative</x:v>
      </x:c>
      <x:c r="D10" t="str">
        <x:v>positive</x:v>
      </x:c>
      <x:c r="E10" t="str"/>
      <x:c r="F10" s="21" t="b">
        <x:v>1</x:v>
      </x:c>
    </x:row>
    <x:row r="11">
      <x:c r="A11" t="str">
        <x:v>Glycine</x:v>
      </x:c>
      <x:c r="B11" t="str">
        <x:v>EX_gly_e</x:v>
      </x:c>
      <x:c r="C11" t="str">
        <x:v>negative</x:v>
      </x:c>
      <x:c r="D11" t="str">
        <x:v>positive</x:v>
      </x:c>
      <x:c r="E11" t="str"/>
      <x:c r="F11" s="21" t="b">
        <x:v>1</x:v>
      </x:c>
    </x:row>
    <x:row r="12">
      <x:c r="A12" t="str">
        <x:v>Proline</x:v>
      </x:c>
      <x:c r="B12" t="str">
        <x:v>EX_pro_L_e</x:v>
      </x:c>
      <x:c r="C12" t="str">
        <x:v>negative</x:v>
      </x:c>
      <x:c r="D12" t="str">
        <x:v>positive</x:v>
      </x:c>
      <x:c r="E12" t="str"/>
      <x:c r="F12" s="21" t="b">
        <x:v>1</x:v>
      </x:c>
    </x:row>
    <x:row r="13">
      <x:c r="A13" t="str">
        <x:v>Leucine</x:v>
      </x:c>
      <x:c r="B13" t="str">
        <x:v>EX_leu_L_e</x:v>
      </x:c>
      <x:c r="C13" t="str">
        <x:v>negative</x:v>
      </x:c>
      <x:c r="D13" t="str">
        <x:v>positive</x:v>
      </x:c>
      <x:c r="E13" t="str"/>
      <x:c r="F13" s="21" t="b">
        <x:v>1</x:v>
      </x:c>
    </x:row>
    <x:row r="14">
      <x:c r="A14" t="str">
        <x:v>Isoleucine</x:v>
      </x:c>
      <x:c r="B14" t="str">
        <x:v>EX_ile_L_e</x:v>
      </x:c>
      <x:c r="C14" t="str">
        <x:v>negative</x:v>
      </x:c>
      <x:c r="D14" t="str">
        <x:v>positive</x:v>
      </x:c>
      <x:c r="E14" t="str"/>
      <x:c r="F14" s="21" t="b">
        <x:v>1</x:v>
      </x:c>
    </x:row>
    <x:row r="15">
      <x:c r="A15" t="str">
        <x:v>Valine</x:v>
      </x:c>
      <x:c r="B15" t="str">
        <x:v>EX_val_L_e</x:v>
      </x:c>
      <x:c r="C15" t="str">
        <x:v>negative</x:v>
      </x:c>
      <x:c r="D15" t="str">
        <x:v>positive</x:v>
      </x:c>
      <x:c r="E15" t="str"/>
      <x:c r="F15" s="21" t="b">
        <x:v>1</x:v>
      </x:c>
    </x:row>
    <x:row r="16">
      <x:c r="A16" t="str">
        <x:v>Lysine</x:v>
      </x:c>
      <x:c r="B16" t="str">
        <x:v>EX_lys_L_e</x:v>
      </x:c>
      <x:c r="C16" t="str">
        <x:v>negative</x:v>
      </x:c>
      <x:c r="D16" t="str">
        <x:v>positive</x:v>
      </x:c>
      <x:c r="E16" t="str"/>
      <x:c r="F16" s="21" t="b">
        <x:v>1</x:v>
      </x:c>
    </x:row>
    <x:row r="17">
      <x:c r="A17" t="str">
        <x:v>Arginine</x:v>
      </x:c>
      <x:c r="B17" t="str">
        <x:v>EX_arg_L_e</x:v>
      </x:c>
      <x:c r="C17" t="str">
        <x:v>negative</x:v>
      </x:c>
      <x:c r="D17" t="str">
        <x:v>positive</x:v>
      </x:c>
      <x:c r="E17" t="str"/>
      <x:c r="F17" s="21" t="b">
        <x:v>1</x:v>
      </x:c>
    </x:row>
    <x:row r="18">
      <x:c r="A18" t="str">
        <x:v>Histidine</x:v>
      </x:c>
      <x:c r="B18" t="str">
        <x:v>EX_his_L_e</x:v>
      </x:c>
      <x:c r="C18" t="str">
        <x:v>negative</x:v>
      </x:c>
      <x:c r="D18" t="str">
        <x:v>positive</x:v>
      </x:c>
      <x:c r="E18" t="str"/>
      <x:c r="F18" s="21" t="b">
        <x:v>1</x:v>
      </x:c>
    </x:row>
    <x:row r="19">
      <x:c r="A19" t="str">
        <x:v>Threonine</x:v>
      </x:c>
      <x:c r="B19" t="str">
        <x:v>EX_thr_L_e</x:v>
      </x:c>
      <x:c r="C19" t="str">
        <x:v>negative</x:v>
      </x:c>
      <x:c r="D19" t="str">
        <x:v>positive</x:v>
      </x:c>
      <x:c r="E19" t="str"/>
      <x:c r="F19" s="21" t="b">
        <x:v>1</x:v>
      </x:c>
    </x:row>
    <x:row r="20">
      <x:c r="A20" t="str">
        <x:v>Phenylalanine</x:v>
      </x:c>
      <x:c r="B20" t="str">
        <x:v>EX_phe_L_e</x:v>
      </x:c>
      <x:c r="C20" t="str">
        <x:v>negative</x:v>
      </x:c>
      <x:c r="D20" t="str">
        <x:v>positive</x:v>
      </x:c>
      <x:c r="E20" t="str"/>
      <x:c r="F20" s="21" t="b">
        <x:v>1</x:v>
      </x:c>
    </x:row>
    <x:row r="21">
      <x:c r="A21" t="str">
        <x:v>Tyrosine</x:v>
      </x:c>
      <x:c r="B21" t="str">
        <x:v>EX_tyr_L_e</x:v>
      </x:c>
      <x:c r="C21" t="str">
        <x:v>negative</x:v>
      </x:c>
      <x:c r="D21" t="str">
        <x:v>positive</x:v>
      </x:c>
      <x:c r="E21" t="str"/>
      <x:c r="F21" s="21" t="b">
        <x:v>1</x:v>
      </x:c>
    </x:row>
    <x:row r="22">
      <x:c r="A22" t="str">
        <x:v>Methionine</x:v>
      </x:c>
      <x:c r="B22" t="str">
        <x:v>EX_met_L_e</x:v>
      </x:c>
      <x:c r="C22" t="str">
        <x:v>negative</x:v>
      </x:c>
      <x:c r="D22" t="str">
        <x:v>positive</x:v>
      </x:c>
      <x:c r="E22" t="str"/>
      <x:c r="F22" s="21" t="b">
        <x:v>1</x:v>
      </x:c>
    </x:row>
    <x:row r="23">
      <x:c r="A23" t="str">
        <x:v>Tryptophan</x:v>
      </x:c>
      <x:c r="B23" t="str">
        <x:v>EX_trp_L_e</x:v>
      </x:c>
      <x:c r="C23" t="str">
        <x:v>negative</x:v>
      </x:c>
      <x:c r="D23" t="str">
        <x:v>positive</x:v>
      </x:c>
      <x:c r="E23" t="str"/>
      <x:c r="F23" s="21" t="b">
        <x:v>1</x:v>
      </x:c>
    </x:row>
    <x:row r="24">
      <x:c r="A24" t="str">
        <x:v>Pyruvate</x:v>
      </x:c>
      <x:c r="B24" t="str">
        <x:v>EX_pyr_e</x:v>
      </x:c>
      <x:c r="C24" t="str">
        <x:v>negative</x:v>
      </x:c>
      <x:c r="D24" t="str">
        <x:v>positive</x:v>
      </x:c>
      <x:c r="E24" t="str"/>
      <x:c r="F24" s="21" t="b">
        <x:v>0</x:v>
      </x:c>
    </x:row>
    <x:row r="25">
      <x:c r="A25" t="str">
        <x:v>Citrate</x:v>
      </x:c>
      <x:c r="B25" t="str">
        <x:v>EX_cit_e</x:v>
      </x:c>
      <x:c r="C25" t="str">
        <x:v>negative</x:v>
      </x:c>
      <x:c r="D25" t="str">
        <x:v>positive</x:v>
      </x:c>
      <x:c r="E25" t="str"/>
      <x:c r="F25" s="21" t="b">
        <x:v>0</x:v>
      </x:c>
    </x:row>
    <x:row r="26">
      <x:c r="A26" t="str">
        <x:v>Succinate</x:v>
      </x:c>
      <x:c r="B26" t="str">
        <x:v>EX_succ_e</x:v>
      </x:c>
      <x:c r="C26" t="str">
        <x:v>negative</x:v>
      </x:c>
      <x:c r="D26" t="str">
        <x:v>positive</x:v>
      </x:c>
      <x:c r="E26" t="str"/>
      <x:c r="F26" s="21" t="b">
        <x:v>0</x:v>
      </x:c>
    </x:row>
    <x:row r="27">
      <x:c r="A27" t="str">
        <x:v>Fumarate</x:v>
      </x:c>
      <x:c r="B27" t="str">
        <x:v>EX_fum_e</x:v>
      </x:c>
      <x:c r="C27" t="str">
        <x:v>negative</x:v>
      </x:c>
      <x:c r="D27" t="str">
        <x:v>positive</x:v>
      </x:c>
      <x:c r="E27" t="str"/>
      <x:c r="F27" s="21" t="b">
        <x:v>0</x:v>
      </x:c>
    </x:row>
    <x:row r="28">
      <x:c r="A28" t="str">
        <x:v>Malate</x:v>
      </x:c>
      <x:c r="B28" t="str">
        <x:v>EX_mal_L_e</x:v>
      </x:c>
      <x:c r="C28" t="str">
        <x:v>negative</x:v>
      </x:c>
      <x:c r="D28" t="str">
        <x:v>positive</x:v>
      </x:c>
      <x:c r="E28" t="str"/>
      <x:c r="F28" s="21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</x:cols>
  <x:sheetData>
    <x:row r="1">
      <x:c r="A1" s="106" t="str">
        <x:v>condition</x:v>
      </x:c>
      <x:c r="B1" s="106" t="str">
        <x:v>metabolite</x:v>
      </x:c>
      <x:c r="C1" s="106" t="str">
        <x:v>exchange_rxn</x:v>
      </x:c>
      <x:c r="D1" s="106" t="str">
        <x:v>day_start</x:v>
      </x:c>
      <x:c r="E1" s="106" t="str">
        <x:v>day_end</x:v>
      </x:c>
      <x:c r="F1" s="107" t="str">
        <x:v>conc_start_mM</x:v>
      </x:c>
      <x:c r="G1" s="107" t="str">
        <x:v>conc_end_mM</x:v>
      </x:c>
      <x:c r="H1" s="107" t="str">
        <x:v>delta_mM</x:v>
      </x:c>
      <x:c r="I1" s="107" t="str">
        <x:v>avg_vcd_10e6_mL</x:v>
      </x:c>
      <x:c r="J1" s="107" t="str">
        <x:v>delta_day</x:v>
      </x:c>
      <x:c r="K1" s="107" t="str">
        <x:v>rate_mmol_10e9cells_day</x:v>
      </x:c>
      <x:c r="L1" s="107" t="str">
        <x:v>fba_rate</x:v>
      </x:c>
      <x:c r="M1" s="107" t="str">
        <x:v>rate_type</x:v>
      </x:c>
      <x:c r="N1" s="107" t="str">
        <x:v>lb</x:v>
      </x:c>
      <x:c r="O1" s="107" t="str">
        <x:v>ub</x:v>
      </x:c>
      <x:c r="P1" s="106" t="str">
        <x:v>note</x:v>
      </x:c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str">
        <x:v>Glucose</x:v>
      </x:c>
      <x:c r="C2" t="str">
        <x:v>EX_glc_e</x:v>
      </x:c>
      <x:c r="D2" t="n">
        <x:v>1</x:v>
      </x:c>
      <x:c r="E2" t="n">
        <x:v>4</x:v>
      </x:c>
      <x:c r="F2" t="n">
        <x:v>25</x:v>
      </x:c>
      <x:c r="G2" t="n">
        <x:v>10</x:v>
      </x:c>
      <x:c r="H2" t="n">
        <x:f>G2-F2</x:f>
        <x:v>-15</x:v>
      </x:c>
      <x:c r="I2" t="n">
        <x:v>2.15</x:v>
      </x:c>
      <x:c r="J2" t="n">
        <x:f>E2-D2</x:f>
        <x:v>3</x:v>
      </x:c>
      <x:c r="K2" t="n">
        <x:f>IFERROR(H2/(I2*J2),"")</x:f>
        <x:v>-2.3255813953488373</x:v>
      </x:c>
      <x:c r="L2" t="n">
        <x:f>K2</x:f>
        <x:v>-2.3255813953488373</x:v>
      </x:c>
      <x:c r="M2" t="str">
        <x:f>IF(L2&lt;0,"uptake","secretion")</x:f>
        <x:v>uptake</x:v>
      </x:c>
      <x:c r="N2" t="n">
        <x:f>IF(L2&lt;0,L2*1.2,L2*0.8)</x:f>
        <x:v>-2.7906976744186047</x:v>
      </x:c>
      <x:c r="O2" t="n">
        <x:f>IF(L2&lt;0,L2*0.8,L2*1.2)</x:f>
        <x:v>-1.86046511627907</x:v>
      </x:c>
      <x:c r="P2" t="str">
        <x:v>example</x:v>
      </x:c>
    </x:row>
    <x:row r="3">
      <x:c r="A3" t="str">
        <x:v>Clone_A</x:v>
      </x:c>
      <x:c r="B3" t="str">
        <x:v>Lactate</x:v>
      </x:c>
      <x:c r="C3" t="str">
        <x:v>EX_lac_L_e</x:v>
      </x:c>
      <x:c r="D3" t="n">
        <x:v>1</x:v>
      </x:c>
      <x:c r="E3" t="n">
        <x:v>4</x:v>
      </x:c>
      <x:c r="F3" t="n">
        <x:v>2</x:v>
      </x:c>
      <x:c r="G3" t="n">
        <x:v>5.5</x:v>
      </x:c>
      <x:c r="H3" t="n">
        <x:f>G3-F3</x:f>
        <x:v>3.5</x:v>
      </x:c>
      <x:c r="I3" t="n">
        <x:v>2.15</x:v>
      </x:c>
      <x:c r="J3" t="n">
        <x:f>E3-D3</x:f>
        <x:v>3</x:v>
      </x:c>
      <x:c r="K3" t="n">
        <x:f>IFERROR(H3/(I3*J3),"")</x:f>
        <x:v>0.5426356589147288</x:v>
      </x:c>
      <x:c r="L3" t="n">
        <x:f>K3</x:f>
        <x:v>0.5426356589147288</x:v>
      </x:c>
      <x:c r="M3" t="str">
        <x:f>IF(L3&lt;0,"uptake","secretion")</x:f>
        <x:v>secretion</x:v>
      </x:c>
      <x:c r="N3" t="n">
        <x:f>IF(L3&lt;0,L3*1.2,L3*0.8)</x:f>
        <x:v>0.43410852713178305</x:v>
      </x:c>
      <x:c r="O3" t="n">
        <x:f>IF(L3&lt;0,L3*0.8,L3*1.2)</x:f>
        <x:v>0.6511627906976745</x:v>
      </x:c>
      <x:c r="P3" t="str">
        <x:v>example</x:v>
      </x:c>
    </x:row>
    <x:row r="4">
      <x:c r="A4" t="str">
        <x:v>Clone_A</x:v>
      </x:c>
      <x:c r="B4" t="str">
        <x:v>Glutamine</x:v>
      </x:c>
      <x:c r="C4" t="str">
        <x:v>EX_gln_L_e</x:v>
      </x:c>
      <x:c r="D4" t="n">
        <x:v>1</x:v>
      </x:c>
      <x:c r="E4" t="n">
        <x:v>4</x:v>
      </x:c>
      <x:c r="F4" t="n">
        <x:v>4</x:v>
      </x:c>
      <x:c r="G4" t="n">
        <x:v>1</x:v>
      </x:c>
      <x:c r="H4" t="n">
        <x:f>G4-F4</x:f>
        <x:v>-3</x:v>
      </x:c>
      <x:c r="I4" t="n">
        <x:v>2.15</x:v>
      </x:c>
      <x:c r="J4" t="n">
        <x:f>E4-D4</x:f>
        <x:v>3</x:v>
      </x:c>
      <x:c r="K4" t="n">
        <x:f>IFERROR(H4/(I4*J4),"")</x:f>
        <x:v>-0.4651162790697675</x:v>
      </x:c>
      <x:c r="L4" t="n">
        <x:f>K4</x:f>
        <x:v>-0.4651162790697675</x:v>
      </x:c>
      <x:c r="M4" t="str">
        <x:f>IF(L4&lt;0,"uptake","secretion")</x:f>
        <x:v>uptake</x:v>
      </x:c>
      <x:c r="N4" t="n">
        <x:f>IF(L4&lt;0,L4*1.2,L4*0.8)</x:f>
        <x:v>-0.5581395348837209</x:v>
      </x:c>
      <x:c r="O4" t="n">
        <x:f>IF(L4&lt;0,L4*0.8,L4*1.2)</x:f>
        <x:v>-0.372093023255814</x:v>
      </x:c>
      <x:c r="P4" t="str">
        <x:v>example</x:v>
      </x:c>
    </x:row>
    <x:row r="5">
      <x:c r="A5" t="str">
        <x:v>Clone_A</x:v>
      </x:c>
      <x:c r="B5" t="str">
        <x:v>Ammonia</x:v>
      </x:c>
      <x:c r="C5" t="str">
        <x:v>EX_nh4_e</x:v>
      </x:c>
      <x:c r="D5" t="n">
        <x:v>1</x:v>
      </x:c>
      <x:c r="E5" t="n">
        <x:v>4</x:v>
      </x:c>
      <x:c r="F5" t="n">
        <x:v>0.5</x:v>
      </x:c>
      <x:c r="G5" t="n">
        <x:v>1.2</x:v>
      </x:c>
      <x:c r="H5" t="n">
        <x:f>G5-F5</x:f>
        <x:v>0.7</x:v>
      </x:c>
      <x:c r="I5" t="n">
        <x:v>2.15</x:v>
      </x:c>
      <x:c r="J5" t="n">
        <x:f>E5-D5</x:f>
        <x:v>3</x:v>
      </x:c>
      <x:c r="K5" t="n">
        <x:f>IFERROR(H5/(I5*J5),"")</x:f>
        <x:v>0.10852713178294573</x:v>
      </x:c>
      <x:c r="L5" t="n">
        <x:f>K5</x:f>
        <x:v>0.10852713178294573</x:v>
      </x:c>
      <x:c r="M5" t="str">
        <x:f>IF(L5&lt;0,"uptake","secretion")</x:f>
        <x:v>secretion</x:v>
      </x:c>
      <x:c r="N5" t="n">
        <x:f>IF(L5&lt;0,L5*1.2,L5*0.8)</x:f>
        <x:v>0.08682170542635659</x:v>
      </x:c>
      <x:c r="O5" t="n">
        <x:f>IF(L5&lt;0,L5*0.8,L5*1.2)</x:f>
        <x:v>0.13023255813953488</x:v>
      </x:c>
      <x:c r="P5" t="str">
        <x:v>example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10" t="str">
        <x:v>condition</x:v>
      </x:c>
      <x:c r="B1" s="110" t="str">
        <x:v>metabolite</x:v>
      </x:c>
      <x:c r="C1" s="110" t="str">
        <x:v>exchange_rxn</x:v>
      </x:c>
      <x:c r="D1" s="110" t="str">
        <x:v>rate</x:v>
      </x:c>
      <x:c r="E1" s="110" t="str">
        <x:v>rate_type</x:v>
      </x:c>
      <x:c r="F1" s="110" t="str">
        <x:v>unit</x:v>
      </x:c>
      <x:c r="G1" s="110" t="str">
        <x:v>day_start</x:v>
      </x:c>
      <x:c r="H1" s="110" t="str">
        <x:v>day_end</x:v>
      </x:c>
      <x:c r="I1" s="110" t="str">
        <x:v>lower_bound</x:v>
      </x:c>
      <x:c r="J1" s="110" t="str">
        <x:v>upper_bound</x:v>
      </x:c>
      <x:c r="K1" s="110" t="str">
        <x:v>source</x:v>
      </x:c>
      <x:c r="L1" s="110" t="str">
        <x:v>note</x:v>
      </x:c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Clone_A</x:v>
      </x:c>
      <x:c r="B2" t="str">
        <x:v>Glucose</x:v>
      </x:c>
      <x:c r="C2" t="str">
        <x:v>EX_glc_e</x:v>
      </x:c>
      <x:c r="D2" t="str"/>
      <x:c r="E2" t="str">
        <x:v>uptake</x:v>
      </x:c>
      <x:c r="F2" t="str">
        <x:v>mmol/10^9cells/day</x:v>
      </x:c>
      <x:c r="G2" t="n">
        <x:v>1</x:v>
      </x:c>
      <x:c r="H2" t="n">
        <x:v>4</x:v>
      </x:c>
      <x:c r="I2" t="str"/>
      <x:c r="J2" t="str"/>
      <x:c r="K2" t="str">
        <x:v>Rate_Calc_Template</x:v>
      </x:c>
      <x:c r="L2" t="str"/>
    </x:row>
    <x:row r="3">
      <x:c r="A3" t="str">
        <x:v>Clone_A</x:v>
      </x:c>
      <x:c r="B3" t="str">
        <x:v>Lactate</x:v>
      </x:c>
      <x:c r="C3" t="str">
        <x:v>EX_lac_L_e</x:v>
      </x:c>
      <x:c r="D3" t="str"/>
      <x:c r="E3" t="str">
        <x:v>secretion</x:v>
      </x:c>
      <x:c r="F3" t="str">
        <x:v>mmol/10^9cells/day</x:v>
      </x:c>
      <x:c r="G3" t="n">
        <x:v>1</x:v>
      </x:c>
      <x:c r="H3" t="n">
        <x:v>4</x:v>
      </x:c>
      <x:c r="I3" t="str"/>
      <x:c r="J3" t="str"/>
      <x:c r="K3" t="str">
        <x:v>Rate_Calc_Template</x:v>
      </x:c>
      <x:c r="L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84" t="str">
        <x:v>QC item</x:v>
      </x:c>
      <x:c r="B1" s="84" t="str">
        <x:v>Formula / Check</x:v>
      </x:c>
      <x:c r="C1" s="84" t="str">
        <x:v>Result</x:v>
      </x:c>
    </x:row>
    <x:row r="2">
      <x:c r="A2" s="12" t="str">
        <x:v>Number of conditions</x:v>
      </x:c>
      <x:c r="B2" s="12" t="str">
        <x:v>COUNTUNIQUE Experiment_Design!A2:A100</x:v>
      </x:c>
      <x:c r="C2" s="12" t="str"/>
    </x:row>
    <x:row r="3">
      <x:c r="A3" s="12" t="str">
        <x:v>Number of metabolomics rows</x:v>
      </x:c>
      <x:c r="B3" s="12" t="str">
        <x:v>COUNTA Extracellular_Metabolomics!A2:A10000</x:v>
      </x:c>
      <x:c r="C3" s="12" t="str"/>
    </x:row>
    <x:row r="4">
      <x:c r="A4" s="12" t="str">
        <x:v>Number of exchange mappings</x:v>
      </x:c>
      <x:c r="B4" s="12" t="str">
        <x:v>COUNTA Exchange_Map_iCHO3K!B2:B200</x:v>
      </x:c>
      <x:c r="C4" s="12" t="str"/>
    </x:row>
    <x:row r="5">
      <x:c r="A5" s="12" t="str">
        <x:v>Required metabolites present?</x:v>
      </x:c>
      <x:c r="B5" s="12" t="str">
        <x:v>script checks</x:v>
      </x:c>
      <x:c r="C5" s="12" t="str">
        <x:v>See script log</x:v>
      </x:c>
    </x:row>
    <x:row r="6">
      <x:c r="A6" s="12" t="str">
        <x:v>FBA-ready export present?</x:v>
      </x:c>
      <x:c r="B6" s="12" t="str">
        <x:v>script output</x:v>
      </x:c>
      <x:c r="C6" s="12" t="str">
        <x:v>data\metabolomics\processed\exchange_rates_from_template.csv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88" t="str">
        <x:v>item</x:v>
      </x:c>
      <x:c r="B1" s="88" t="str">
        <x:v>path</x:v>
      </x:c>
      <x:c r="C1" s="88" t="str">
        <x:v>description</x:v>
      </x:c>
    </x:row>
    <x:row r="2">
      <x:c r="A2" t="str">
        <x:v>Sowa mmc1.xlsx</x:v>
      </x:c>
      <x:c r="B2" t="str">
        <x:v>data\metabolomics\raw\mmc1.xlsx</x:v>
      </x:c>
      <x:c r="C2" t="str">
        <x:v>NMR_Table3/LCMS_Table4 public POC input</x:v>
      </x:c>
    </x:row>
    <x:row r="3">
      <x:c r="A3" t="str">
        <x:v>iCHO3K model</x:v>
      </x:c>
      <x:c r="B3" t="str">
        <x:v>model\iCHO3K-main\iCHO3K\Model\iCHO3K_cho_prod_generic_unblocked.json</x:v>
      </x:c>
      <x:c r="C3" t="str">
        <x:v>CHO production model</x:v>
      </x:c>
    </x:row>
    <x:row r="4">
      <x:c r="A4" t="str">
        <x:v>template workbook</x:v>
      </x:c>
      <x:c r="B4" t="str">
        <x:v>templates\CHO_FBA_final_input_template.xlsx</x:v>
      </x:c>
      <x:c r="C4" t="str">
        <x:v>direct experiment input format</x:v>
      </x:c>
    </x:row>
  </x:sheetData>
  <x:pageMargins left="0.7" right="0.7" top="0.75" bottom="0.75" header="0.3" footer="0.3"/>
</x:worksheet>
</file>